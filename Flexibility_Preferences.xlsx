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riovezzali/Development/Pandas-Biogeme/Pandas-Biogeme/output/"/>
    </mc:Choice>
  </mc:AlternateContent>
  <xr:revisionPtr revIDLastSave="0" documentId="13_ncr:1_{0ABAEF7B-7969-F543-B227-7435FAFD692C}" xr6:coauthVersionLast="47" xr6:coauthVersionMax="47" xr10:uidLastSave="{00000000-0000-0000-0000-000000000000}"/>
  <bookViews>
    <workbookView xWindow="0" yWindow="780" windowWidth="34200" windowHeight="19940" xr2:uid="{ADD43ED2-A73A-FE49-A984-2AB27DA5AEBD}"/>
  </bookViews>
  <sheets>
    <sheet name="House_01" sheetId="14" r:id="rId1"/>
    <sheet name="House_02" sheetId="15" r:id="rId2"/>
    <sheet name="House_03" sheetId="16" r:id="rId3"/>
    <sheet name="House_04" sheetId="17" r:id="rId4"/>
    <sheet name="House_05" sheetId="18" r:id="rId5"/>
    <sheet name="House_06" sheetId="19" r:id="rId6"/>
    <sheet name="House_07" sheetId="20" r:id="rId7"/>
    <sheet name="House_08" sheetId="21" r:id="rId8"/>
    <sheet name="House_09" sheetId="22" r:id="rId9"/>
    <sheet name="House_10" sheetId="23" r:id="rId10"/>
    <sheet name="House_11" sheetId="24" r:id="rId11"/>
    <sheet name="House_12" sheetId="25" r:id="rId12"/>
    <sheet name="House_13" sheetId="2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16" l="1"/>
  <c r="C37" i="16"/>
  <c r="C36" i="16"/>
  <c r="K40" i="16"/>
  <c r="C35" i="26" l="1"/>
  <c r="E36" i="26" s="1"/>
  <c r="C34" i="26"/>
  <c r="K31" i="26"/>
  <c r="C27" i="26"/>
  <c r="K37" i="25"/>
  <c r="C37" i="25"/>
  <c r="E38" i="25" s="1"/>
  <c r="C36" i="25"/>
  <c r="C29" i="25"/>
  <c r="K43" i="24"/>
  <c r="M44" i="24" s="1"/>
  <c r="K42" i="24"/>
  <c r="S43" i="24"/>
  <c r="K35" i="24"/>
  <c r="C39" i="24"/>
  <c r="E40" i="24" s="1"/>
  <c r="C38" i="24"/>
  <c r="C31" i="24"/>
  <c r="K47" i="23"/>
  <c r="M48" i="23" s="1"/>
  <c r="K46" i="23"/>
  <c r="S43" i="23"/>
  <c r="C39" i="23"/>
  <c r="E40" i="23" s="1"/>
  <c r="C38" i="23"/>
  <c r="K39" i="23"/>
  <c r="C31" i="23"/>
  <c r="C33" i="22"/>
  <c r="E34" i="22" s="1"/>
  <c r="C32" i="22"/>
  <c r="K25" i="22"/>
  <c r="C25" i="22"/>
  <c r="C35" i="21"/>
  <c r="E36" i="21" s="1"/>
  <c r="C34" i="21"/>
  <c r="K31" i="21"/>
  <c r="C27" i="21"/>
  <c r="C33" i="19"/>
  <c r="E34" i="19" s="1"/>
  <c r="K41" i="20"/>
  <c r="M42" i="20" s="1"/>
  <c r="K40" i="20"/>
  <c r="S37" i="20"/>
  <c r="C37" i="20"/>
  <c r="E38" i="20" s="1"/>
  <c r="C36" i="20"/>
  <c r="K33" i="20"/>
  <c r="C29" i="20"/>
  <c r="C32" i="19"/>
  <c r="K25" i="19"/>
  <c r="C25" i="19"/>
  <c r="C37" i="18"/>
  <c r="E38" i="18" s="1"/>
  <c r="C36" i="18"/>
  <c r="K37" i="18"/>
  <c r="C29" i="18"/>
  <c r="K41" i="17"/>
  <c r="M42" i="17"/>
  <c r="K40" i="17"/>
  <c r="S37" i="17"/>
  <c r="C37" i="17"/>
  <c r="E38" i="17" s="1"/>
  <c r="C36" i="17"/>
  <c r="K33" i="17"/>
  <c r="C29" i="17"/>
  <c r="M42" i="16"/>
  <c r="S37" i="16"/>
  <c r="E38" i="16"/>
  <c r="K33" i="16"/>
  <c r="C29" i="16"/>
  <c r="C35" i="15"/>
  <c r="E36" i="15" s="1"/>
  <c r="C34" i="15"/>
  <c r="K31" i="15"/>
  <c r="C27" i="15"/>
  <c r="C37" i="14" l="1"/>
  <c r="E38" i="14" s="1"/>
  <c r="C36" i="14"/>
  <c r="C29" i="14"/>
  <c r="K33" i="14"/>
  <c r="K41" i="14"/>
  <c r="M42" i="14" s="1"/>
  <c r="K40" i="14"/>
  <c r="S37" i="14"/>
</calcChain>
</file>

<file path=xl/sharedStrings.xml><?xml version="1.0" encoding="utf-8"?>
<sst xmlns="http://schemas.openxmlformats.org/spreadsheetml/2006/main" count="1737" uniqueCount="96">
  <si>
    <t>ac_1</t>
  </si>
  <si>
    <t>ac_2</t>
  </si>
  <si>
    <t>boiler</t>
  </si>
  <si>
    <t>washing_machine</t>
  </si>
  <si>
    <t>House_01</t>
  </si>
  <si>
    <t>NF</t>
  </si>
  <si>
    <t>F</t>
  </si>
  <si>
    <t>==&gt;</t>
  </si>
  <si>
    <t>House_02</t>
  </si>
  <si>
    <t>House_03</t>
  </si>
  <si>
    <t>House_04</t>
  </si>
  <si>
    <t>dishwasher</t>
  </si>
  <si>
    <t>House_05</t>
  </si>
  <si>
    <t>House_06</t>
  </si>
  <si>
    <t>House_07</t>
  </si>
  <si>
    <t>House_08</t>
  </si>
  <si>
    <t>House_09</t>
  </si>
  <si>
    <t>House_10</t>
  </si>
  <si>
    <t>House_11</t>
  </si>
  <si>
    <t>ac_3</t>
  </si>
  <si>
    <t>House_12</t>
  </si>
  <si>
    <t>House_13</t>
  </si>
  <si>
    <t>Name</t>
  </si>
  <si>
    <t>Value</t>
  </si>
  <si>
    <t>Robust std err.</t>
  </si>
  <si>
    <t>Robust t-stat.</t>
  </si>
  <si>
    <t>Robust p-value</t>
  </si>
  <si>
    <t>Active bound</t>
  </si>
  <si>
    <t>gamma_ac_1</t>
  </si>
  <si>
    <t>False</t>
  </si>
  <si>
    <t>theta_NF_early</t>
  </si>
  <si>
    <t>True</t>
  </si>
  <si>
    <t>theta_NF_late</t>
  </si>
  <si>
    <t>theta_NF_short</t>
  </si>
  <si>
    <t>theta_NF_long</t>
  </si>
  <si>
    <t>gamma_ac_2</t>
  </si>
  <si>
    <t>gamma_boiler</t>
  </si>
  <si>
    <t>gamma_washing_machine</t>
  </si>
  <si>
    <t>theta_F_early</t>
  </si>
  <si>
    <t>theta_F_late</t>
  </si>
  <si>
    <t>theta_F_short</t>
  </si>
  <si>
    <t>theta_F_long</t>
  </si>
  <si>
    <t>Parameter number</t>
  </si>
  <si>
    <t>Summary statistics</t>
  </si>
  <si>
    <t>theta_ac_early</t>
  </si>
  <si>
    <t>theta_ac_late</t>
  </si>
  <si>
    <t>theta_ac_short</t>
  </si>
  <si>
    <t>theta_ac_long</t>
  </si>
  <si>
    <t>theta_boiler_early</t>
  </si>
  <si>
    <t>theta_boiler_late</t>
  </si>
  <si>
    <t>theta_boiler_short</t>
  </si>
  <si>
    <t>theta_boiler_long</t>
  </si>
  <si>
    <t>theta_washing_machine_early</t>
  </si>
  <si>
    <t>theta_washing_machine_late</t>
  </si>
  <si>
    <t>theta_washing_machine_short</t>
  </si>
  <si>
    <t>theta_washing_machine_long</t>
  </si>
  <si>
    <t>theta_ac_1_early</t>
  </si>
  <si>
    <t>theta_ac_1_late</t>
  </si>
  <si>
    <t>theta_ac_1_short</t>
  </si>
  <si>
    <t>theta_ac_1_long</t>
  </si>
  <si>
    <t>theta_ac_2_early</t>
  </si>
  <si>
    <t>theta_ac_2_late</t>
  </si>
  <si>
    <t>theta_ac_2_short</t>
  </si>
  <si>
    <t>theta_ac_2_long</t>
  </si>
  <si>
    <t>df</t>
  </si>
  <si>
    <t>LR</t>
  </si>
  <si>
    <r>
      <t>χ</t>
    </r>
    <r>
      <rPr>
        <vertAlign val="superscript"/>
        <sz val="12"/>
        <color theme="1"/>
        <rFont val="Aptos Narrow (Corpo)"/>
      </rPr>
      <t>2</t>
    </r>
    <r>
      <rPr>
        <sz val="12"/>
        <color theme="1"/>
        <rFont val="Aptos Narrow"/>
        <family val="2"/>
        <scheme val="minor"/>
      </rPr>
      <t xml:space="preserve"> </t>
    </r>
    <r>
      <rPr>
        <vertAlign val="subscript"/>
        <sz val="12"/>
        <color theme="1"/>
        <rFont val="Aptos Narrow (Corpo)"/>
      </rPr>
      <t>0.95, 4</t>
    </r>
  </si>
  <si>
    <t>H0: theta_ac_1_early = theta_ac_2_early = theta_ac_early, theta_ac_1_late = theta_ac_2_late = theta_ac_late,…</t>
  </si>
  <si>
    <t>H0: theta_ac_early = theta_boiler_early = theta_NF_early, theta_ac_late = theta_boiler_late = theta_NF_late,…</t>
  </si>
  <si>
    <t>Number of estimated parameters</t>
  </si>
  <si>
    <t>Sample size</t>
  </si>
  <si>
    <t>Init log likelihood</t>
  </si>
  <si>
    <t>Final log likelihood</t>
  </si>
  <si>
    <t>Likelihood ratio test for the null model</t>
  </si>
  <si>
    <t>Akaike Information Criterion</t>
  </si>
  <si>
    <t>Bayesian Information Criterion</t>
  </si>
  <si>
    <t>Appliance</t>
  </si>
  <si>
    <t>Flexibility profile</t>
  </si>
  <si>
    <t>Likelihood ratio test for the generic model VS the specific restricted model</t>
  </si>
  <si>
    <t>Likelihood ratio test for the specific restricted model VS the generic model</t>
  </si>
  <si>
    <t>gamma_dishwasher</t>
  </si>
  <si>
    <t>theta_dishwasher_early</t>
  </si>
  <si>
    <t>theta_dishwasher_late</t>
  </si>
  <si>
    <t>theta_dishwasher_short</t>
  </si>
  <si>
    <t>theta_dishwasher_long</t>
  </si>
  <si>
    <t>-</t>
  </si>
  <si>
    <t>gamma_ac_3</t>
  </si>
  <si>
    <t>theta_ac_3_early</t>
  </si>
  <si>
    <t>theta_ac_3_late</t>
  </si>
  <si>
    <t>theta_ac_3_short</t>
  </si>
  <si>
    <t>theta_ac_3_long</t>
  </si>
  <si>
    <t>washer_dryer</t>
  </si>
  <si>
    <r>
      <t>χ</t>
    </r>
    <r>
      <rPr>
        <vertAlign val="superscript"/>
        <sz val="12"/>
        <color theme="1"/>
        <rFont val="Aptos Narrow (Corpo)"/>
      </rPr>
      <t>2</t>
    </r>
    <r>
      <rPr>
        <sz val="12"/>
        <color theme="1"/>
        <rFont val="Aptos Narrow"/>
        <family val="2"/>
        <scheme val="minor"/>
      </rPr>
      <t xml:space="preserve"> </t>
    </r>
    <r>
      <rPr>
        <vertAlign val="subscript"/>
        <sz val="12"/>
        <color theme="1"/>
        <rFont val="Aptos Narrow (Corpo)"/>
      </rPr>
      <t>0.95, 8</t>
    </r>
  </si>
  <si>
    <t>Model 2 – Type-specific</t>
  </si>
  <si>
    <t>Model 1 – Generic</t>
  </si>
  <si>
    <t>Model 3 – Appliance-specific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</si>
</sst>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0.000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vertAlign val="superscript"/>
      <sz val="12"/>
      <color theme="1"/>
      <name val="Aptos Narrow (Corpo)"/>
    </font>
    <font>
      <vertAlign val="subscript"/>
      <sz val="12"/>
      <color theme="1"/>
      <name val="Aptos Narrow (Corpo)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quotePrefix="1" applyAlignment="1">
      <alignment horizontal="center"/>
    </xf>
    <xf numFmtId="164" fontId="0" fillId="3" borderId="0" xfId="0" applyNumberFormat="1" applyFill="1" applyAlignment="1">
      <alignment horizontal="right"/>
    </xf>
    <xf numFmtId="0" fontId="0" fillId="4" borderId="0" xfId="0" applyFill="1" applyAlignment="1">
      <alignment horizontal="right"/>
    </xf>
    <xf numFmtId="164" fontId="0" fillId="0" borderId="0" xfId="0" applyNumberFormat="1" applyAlignment="1">
      <alignment horizontal="right"/>
    </xf>
    <xf numFmtId="164" fontId="1" fillId="3" borderId="0" xfId="0" applyNumberFormat="1" applyFont="1" applyFill="1" applyAlignment="1">
      <alignment horizontal="right"/>
    </xf>
    <xf numFmtId="164" fontId="3" fillId="3" borderId="0" xfId="0" applyNumberFormat="1" applyFont="1" applyFill="1" applyAlignment="1">
      <alignment horizontal="right"/>
    </xf>
    <xf numFmtId="164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0" fillId="0" borderId="1" xfId="0" applyBorder="1" applyAlignment="1">
      <alignment horizontal="right"/>
    </xf>
    <xf numFmtId="164" fontId="0" fillId="0" borderId="0" xfId="0" applyNumberFormat="1"/>
    <xf numFmtId="164" fontId="0" fillId="0" borderId="1" xfId="0" applyNumberFormat="1" applyBorder="1" applyAlignment="1">
      <alignment horizontal="right"/>
    </xf>
    <xf numFmtId="0" fontId="1" fillId="0" borderId="0" xfId="0" applyFont="1"/>
    <xf numFmtId="165" fontId="0" fillId="0" borderId="0" xfId="0" applyNumberFormat="1"/>
    <xf numFmtId="164" fontId="0" fillId="0" borderId="0" xfId="0" quotePrefix="1" applyNumberFormat="1" applyAlignment="1">
      <alignment horizontal="center"/>
    </xf>
    <xf numFmtId="0" fontId="1" fillId="0" borderId="0" xfId="0" applyFont="1" applyAlignment="1">
      <alignment horizontal="right"/>
    </xf>
    <xf numFmtId="164" fontId="3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66" fontId="0" fillId="0" borderId="0" xfId="0" applyNumberFormat="1"/>
    <xf numFmtId="0" fontId="1" fillId="2" borderId="0" xfId="0" applyFont="1" applyFill="1"/>
    <xf numFmtId="164" fontId="0" fillId="3" borderId="1" xfId="0" applyNumberFormat="1" applyFill="1" applyBorder="1" applyAlignment="1">
      <alignment horizontal="right"/>
    </xf>
    <xf numFmtId="164" fontId="3" fillId="3" borderId="1" xfId="0" applyNumberFormat="1" applyFont="1" applyFill="1" applyBorder="1" applyAlignment="1">
      <alignment horizontal="right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1" fillId="0" borderId="2" xfId="0" applyFont="1" applyBorder="1"/>
    <xf numFmtId="0" fontId="1" fillId="0" borderId="0" xfId="0" applyFont="1"/>
    <xf numFmtId="0" fontId="2" fillId="0" borderId="0" xfId="0" applyFont="1"/>
  </cellXfs>
  <cellStyles count="1">
    <cellStyle name="Normale" xfId="0" builtinId="0"/>
  </cellStyles>
  <dxfs count="8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D0FB4-F33E-AB49-A1FF-48F602E6B6A0}">
  <sheetPr>
    <tabColor rgb="FF00B0F0"/>
  </sheetPr>
  <dimension ref="B2:X42"/>
  <sheetViews>
    <sheetView tabSelected="1"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21" t="s">
        <v>4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2:24" x14ac:dyDescent="0.2">
      <c r="B4" s="19" t="s">
        <v>76</v>
      </c>
      <c r="C4" s="19" t="s">
        <v>77</v>
      </c>
      <c r="D4" s="2"/>
      <c r="E4" s="2"/>
      <c r="F4" s="2"/>
    </row>
    <row r="5" spans="2:24" x14ac:dyDescent="0.2">
      <c r="B5" s="10" t="s">
        <v>0</v>
      </c>
      <c r="C5" s="5" t="s">
        <v>5</v>
      </c>
      <c r="D5" s="2"/>
      <c r="E5" s="2"/>
      <c r="F5" s="2"/>
    </row>
    <row r="6" spans="2:24" x14ac:dyDescent="0.2">
      <c r="B6" s="10" t="s">
        <v>1</v>
      </c>
      <c r="C6" s="5" t="s">
        <v>5</v>
      </c>
      <c r="D6" s="2"/>
      <c r="E6" s="2"/>
      <c r="F6" s="2"/>
    </row>
    <row r="7" spans="2:24" x14ac:dyDescent="0.2">
      <c r="B7" s="10" t="s">
        <v>2</v>
      </c>
      <c r="C7" s="5" t="s">
        <v>5</v>
      </c>
      <c r="D7" s="2"/>
      <c r="E7" s="2"/>
      <c r="F7" s="2"/>
    </row>
    <row r="8" spans="2:24" x14ac:dyDescent="0.2">
      <c r="B8" s="10" t="s">
        <v>3</v>
      </c>
      <c r="C8" s="5" t="s">
        <v>6</v>
      </c>
      <c r="D8" s="2"/>
      <c r="E8" s="2"/>
      <c r="F8" s="2"/>
    </row>
    <row r="10" spans="2:24" x14ac:dyDescent="0.2">
      <c r="B10" s="26" t="s">
        <v>94</v>
      </c>
      <c r="C10" s="26"/>
      <c r="D10" s="26"/>
      <c r="E10" s="26"/>
      <c r="F10" s="26"/>
      <c r="G10" s="26"/>
      <c r="H10" s="26"/>
      <c r="J10" s="26" t="s">
        <v>93</v>
      </c>
      <c r="K10" s="26"/>
      <c r="L10" s="26"/>
      <c r="M10" s="26"/>
      <c r="N10" s="26"/>
      <c r="O10" s="26"/>
      <c r="P10" s="26"/>
      <c r="R10" s="26" t="s">
        <v>95</v>
      </c>
      <c r="S10" s="26"/>
      <c r="T10" s="26"/>
      <c r="U10" s="26"/>
      <c r="V10" s="26"/>
      <c r="W10" s="26"/>
      <c r="X10" s="26"/>
    </row>
    <row r="11" spans="2:24" x14ac:dyDescent="0.2">
      <c r="B11" s="11" t="s">
        <v>42</v>
      </c>
      <c r="C11" s="11" t="s">
        <v>22</v>
      </c>
      <c r="D11" s="13" t="s">
        <v>23</v>
      </c>
      <c r="E11" s="13" t="s">
        <v>24</v>
      </c>
      <c r="F11" s="13" t="s">
        <v>25</v>
      </c>
      <c r="G11" s="13" t="s">
        <v>26</v>
      </c>
      <c r="H11" s="11" t="s">
        <v>27</v>
      </c>
      <c r="J11" s="11" t="s">
        <v>42</v>
      </c>
      <c r="K11" s="11" t="s">
        <v>22</v>
      </c>
      <c r="L11" s="11" t="s">
        <v>23</v>
      </c>
      <c r="M11" s="11" t="s">
        <v>24</v>
      </c>
      <c r="N11" s="11" t="s">
        <v>25</v>
      </c>
      <c r="O11" s="11" t="s">
        <v>26</v>
      </c>
      <c r="P11" s="11" t="s">
        <v>27</v>
      </c>
      <c r="R11" s="11" t="s">
        <v>42</v>
      </c>
      <c r="S11" s="11" t="s">
        <v>22</v>
      </c>
      <c r="T11" s="11" t="s">
        <v>23</v>
      </c>
      <c r="U11" s="11" t="s">
        <v>24</v>
      </c>
      <c r="V11" s="11" t="s">
        <v>25</v>
      </c>
      <c r="W11" s="11" t="s">
        <v>26</v>
      </c>
      <c r="X11" s="11" t="s">
        <v>27</v>
      </c>
    </row>
    <row r="12" spans="2:24" x14ac:dyDescent="0.2">
      <c r="B12" s="2">
        <v>0</v>
      </c>
      <c r="C12" s="2" t="s">
        <v>28</v>
      </c>
      <c r="D12" s="4">
        <v>0.40703005588687302</v>
      </c>
      <c r="E12" s="6">
        <v>0.22310111521117501</v>
      </c>
      <c r="F12" s="6">
        <v>1.8244196381609299</v>
      </c>
      <c r="G12" s="6">
        <v>6.8088655315989802E-2</v>
      </c>
      <c r="H12" s="2" t="s">
        <v>29</v>
      </c>
      <c r="J12" s="2">
        <v>0</v>
      </c>
      <c r="K12" s="2" t="s">
        <v>28</v>
      </c>
      <c r="L12" s="8">
        <v>0.253508475865037</v>
      </c>
      <c r="M12" s="9">
        <v>0.270544882257236</v>
      </c>
      <c r="N12" s="9">
        <v>0.93702927865402796</v>
      </c>
      <c r="O12" s="9">
        <v>0.34874349751330402</v>
      </c>
      <c r="P12" s="10" t="s">
        <v>29</v>
      </c>
      <c r="R12" s="2">
        <v>0</v>
      </c>
      <c r="S12" s="2" t="s">
        <v>28</v>
      </c>
      <c r="T12" s="8">
        <v>0.28348119773473701</v>
      </c>
      <c r="U12" s="9">
        <v>0.29442324872446202</v>
      </c>
      <c r="V12" s="9">
        <v>0.96283564209983497</v>
      </c>
      <c r="W12" s="9">
        <v>0.33563001100622902</v>
      </c>
      <c r="X12" s="10" t="s">
        <v>29</v>
      </c>
    </row>
    <row r="13" spans="2:24" x14ac:dyDescent="0.2">
      <c r="B13" s="2">
        <v>1</v>
      </c>
      <c r="C13" s="2" t="s">
        <v>30</v>
      </c>
      <c r="D13" s="7">
        <v>0</v>
      </c>
      <c r="E13" s="6">
        <v>7.5914816807835503E-2</v>
      </c>
      <c r="F13" s="6">
        <v>0</v>
      </c>
      <c r="G13" s="6">
        <v>1</v>
      </c>
      <c r="H13" s="17" t="s">
        <v>31</v>
      </c>
      <c r="J13" s="2">
        <v>1</v>
      </c>
      <c r="K13" s="2" t="s">
        <v>44</v>
      </c>
      <c r="L13" s="7">
        <v>0</v>
      </c>
      <c r="M13" s="9">
        <v>0.11877066992238999</v>
      </c>
      <c r="N13" s="9">
        <v>0</v>
      </c>
      <c r="O13" s="9">
        <v>1</v>
      </c>
      <c r="P13" s="17" t="s">
        <v>31</v>
      </c>
      <c r="R13" s="2">
        <v>1</v>
      </c>
      <c r="S13" s="2" t="s">
        <v>56</v>
      </c>
      <c r="T13" s="7">
        <v>0</v>
      </c>
      <c r="U13" s="9">
        <v>0.155040449459211</v>
      </c>
      <c r="V13" s="9">
        <v>0</v>
      </c>
      <c r="W13" s="9">
        <v>1</v>
      </c>
      <c r="X13" s="17" t="s">
        <v>31</v>
      </c>
    </row>
    <row r="14" spans="2:24" x14ac:dyDescent="0.2">
      <c r="B14" s="2">
        <v>2</v>
      </c>
      <c r="C14" s="2" t="s">
        <v>32</v>
      </c>
      <c r="D14" s="7">
        <v>0</v>
      </c>
      <c r="E14" s="6">
        <v>6.1862020992481503E-2</v>
      </c>
      <c r="F14" s="6">
        <v>0</v>
      </c>
      <c r="G14" s="6">
        <v>1</v>
      </c>
      <c r="H14" s="17" t="s">
        <v>31</v>
      </c>
      <c r="J14" s="2">
        <v>2</v>
      </c>
      <c r="K14" s="2" t="s">
        <v>45</v>
      </c>
      <c r="L14" s="7">
        <v>0</v>
      </c>
      <c r="M14" s="9">
        <v>0.13902343850084201</v>
      </c>
      <c r="N14" s="9">
        <v>0</v>
      </c>
      <c r="O14" s="9">
        <v>1</v>
      </c>
      <c r="P14" s="17" t="s">
        <v>31</v>
      </c>
      <c r="R14" s="2">
        <v>2</v>
      </c>
      <c r="S14" s="2" t="s">
        <v>57</v>
      </c>
      <c r="T14" s="7">
        <v>0</v>
      </c>
      <c r="U14" s="9">
        <v>0.14181449073385399</v>
      </c>
      <c r="V14" s="9">
        <v>0</v>
      </c>
      <c r="W14" s="9">
        <v>1</v>
      </c>
      <c r="X14" s="17" t="s">
        <v>31</v>
      </c>
    </row>
    <row r="15" spans="2:24" x14ac:dyDescent="0.2">
      <c r="B15" s="2">
        <v>3</v>
      </c>
      <c r="C15" s="2" t="s">
        <v>33</v>
      </c>
      <c r="D15" s="8">
        <v>-3.6953204931523698E-3</v>
      </c>
      <c r="E15" s="6">
        <v>3.7912876467393698E-2</v>
      </c>
      <c r="F15" s="6">
        <v>-9.7468745119628802E-2</v>
      </c>
      <c r="G15" s="6">
        <v>0.92235415380464603</v>
      </c>
      <c r="H15" s="2" t="s">
        <v>29</v>
      </c>
      <c r="J15" s="2">
        <v>3</v>
      </c>
      <c r="K15" s="2" t="s">
        <v>46</v>
      </c>
      <c r="L15" s="7">
        <v>0</v>
      </c>
      <c r="M15" s="9">
        <v>5.0171102657736097E-2</v>
      </c>
      <c r="N15" s="9">
        <v>0</v>
      </c>
      <c r="O15" s="9">
        <v>1</v>
      </c>
      <c r="P15" s="17" t="s">
        <v>31</v>
      </c>
      <c r="R15" s="2">
        <v>3</v>
      </c>
      <c r="S15" s="2" t="s">
        <v>58</v>
      </c>
      <c r="T15" s="8">
        <v>-1.4227343097125301E-2</v>
      </c>
      <c r="U15" s="9">
        <v>0.10070772041015801</v>
      </c>
      <c r="V15" s="9">
        <v>-0.14127360880755399</v>
      </c>
      <c r="W15" s="9">
        <v>0.88765379761447105</v>
      </c>
      <c r="X15" s="10" t="s">
        <v>29</v>
      </c>
    </row>
    <row r="16" spans="2:24" x14ac:dyDescent="0.2">
      <c r="B16" s="2">
        <v>4</v>
      </c>
      <c r="C16" s="2" t="s">
        <v>34</v>
      </c>
      <c r="D16" s="4">
        <v>-0.15510016689245901</v>
      </c>
      <c r="E16" s="6">
        <v>5.3713758482094802E-2</v>
      </c>
      <c r="F16" s="6">
        <v>-2.8875314495849498</v>
      </c>
      <c r="G16" s="6">
        <v>3.8827778768095698E-3</v>
      </c>
      <c r="H16" s="2" t="s">
        <v>29</v>
      </c>
      <c r="J16" s="2">
        <v>4</v>
      </c>
      <c r="K16" s="2" t="s">
        <v>47</v>
      </c>
      <c r="L16" s="7">
        <v>0</v>
      </c>
      <c r="M16" s="9">
        <v>5.4725513558238299E-2</v>
      </c>
      <c r="N16" s="9">
        <v>0</v>
      </c>
      <c r="O16" s="9">
        <v>1</v>
      </c>
      <c r="P16" s="17" t="s">
        <v>31</v>
      </c>
      <c r="R16" s="2">
        <v>4</v>
      </c>
      <c r="S16" s="2" t="s">
        <v>59</v>
      </c>
      <c r="T16" s="7">
        <v>0</v>
      </c>
      <c r="U16" s="9">
        <v>0.101892884040251</v>
      </c>
      <c r="V16" s="9">
        <v>0</v>
      </c>
      <c r="W16" s="9">
        <v>1</v>
      </c>
      <c r="X16" s="17" t="s">
        <v>31</v>
      </c>
    </row>
    <row r="17" spans="2:24" x14ac:dyDescent="0.2">
      <c r="B17" s="2">
        <v>5</v>
      </c>
      <c r="C17" s="2" t="s">
        <v>35</v>
      </c>
      <c r="D17" s="4">
        <v>0.65430987394899698</v>
      </c>
      <c r="E17" s="6">
        <v>0.203845205146477</v>
      </c>
      <c r="F17" s="6">
        <v>3.2098369617221398</v>
      </c>
      <c r="G17" s="6">
        <v>1.3281027947109601E-3</v>
      </c>
      <c r="H17" s="2" t="s">
        <v>29</v>
      </c>
      <c r="J17" s="2">
        <v>5</v>
      </c>
      <c r="K17" s="2" t="s">
        <v>35</v>
      </c>
      <c r="L17" s="8">
        <v>0.430083846925635</v>
      </c>
      <c r="M17" s="9">
        <v>0.25422912196144398</v>
      </c>
      <c r="N17" s="9">
        <v>1.6917174696880699</v>
      </c>
      <c r="O17" s="9">
        <v>9.0699855896325898E-2</v>
      </c>
      <c r="P17" s="10" t="s">
        <v>29</v>
      </c>
      <c r="R17" s="2">
        <v>5</v>
      </c>
      <c r="S17" s="2" t="s">
        <v>35</v>
      </c>
      <c r="T17" s="8">
        <v>0.43429420474362002</v>
      </c>
      <c r="U17" s="9">
        <v>0.31093475307077101</v>
      </c>
      <c r="V17" s="9">
        <v>1.3967374198431</v>
      </c>
      <c r="W17" s="9">
        <v>0.16249254711484801</v>
      </c>
      <c r="X17" s="10" t="s">
        <v>29</v>
      </c>
    </row>
    <row r="18" spans="2:24" x14ac:dyDescent="0.2">
      <c r="B18" s="2">
        <v>6</v>
      </c>
      <c r="C18" s="2" t="s">
        <v>36</v>
      </c>
      <c r="D18" s="4">
        <v>1.1963275502004</v>
      </c>
      <c r="E18" s="6">
        <v>0.215006464869929</v>
      </c>
      <c r="F18" s="6">
        <v>5.5641468777421697</v>
      </c>
      <c r="G18" s="6">
        <v>2.63437995862148E-8</v>
      </c>
      <c r="H18" s="2" t="s">
        <v>29</v>
      </c>
      <c r="J18" s="2">
        <v>6</v>
      </c>
      <c r="K18" s="2" t="s">
        <v>36</v>
      </c>
      <c r="L18" s="8">
        <v>2.87977154561402</v>
      </c>
      <c r="M18" s="9">
        <v>0.29584847570966299</v>
      </c>
      <c r="N18" s="9">
        <v>9.7339407908261109</v>
      </c>
      <c r="O18" s="9">
        <v>0</v>
      </c>
      <c r="P18" s="10" t="s">
        <v>29</v>
      </c>
      <c r="R18" s="2">
        <v>6</v>
      </c>
      <c r="S18" s="2" t="s">
        <v>60</v>
      </c>
      <c r="T18" s="7">
        <v>0</v>
      </c>
      <c r="U18" s="9">
        <v>0.17321418521826701</v>
      </c>
      <c r="V18" s="9">
        <v>0</v>
      </c>
      <c r="W18" s="9">
        <v>1</v>
      </c>
      <c r="X18" s="17" t="s">
        <v>31</v>
      </c>
    </row>
    <row r="19" spans="2:24" x14ac:dyDescent="0.2">
      <c r="B19" s="2">
        <v>7</v>
      </c>
      <c r="C19" s="2" t="s">
        <v>37</v>
      </c>
      <c r="D19" s="4">
        <v>1.9115171039569001</v>
      </c>
      <c r="E19" s="6">
        <v>0.42182011290583799</v>
      </c>
      <c r="F19" s="6">
        <v>4.5315930783594602</v>
      </c>
      <c r="G19" s="6">
        <v>5.8540533076634196E-6</v>
      </c>
      <c r="H19" s="2" t="s">
        <v>29</v>
      </c>
      <c r="J19" s="2">
        <v>7</v>
      </c>
      <c r="K19" s="2" t="s">
        <v>48</v>
      </c>
      <c r="L19" s="8">
        <v>-0.19009839491971101</v>
      </c>
      <c r="M19" s="9">
        <v>0.114562525485288</v>
      </c>
      <c r="N19" s="9">
        <v>-1.6593418669364299</v>
      </c>
      <c r="O19" s="9">
        <v>9.7046923302537197E-2</v>
      </c>
      <c r="P19" s="10" t="s">
        <v>29</v>
      </c>
      <c r="R19" s="2">
        <v>7</v>
      </c>
      <c r="S19" s="2" t="s">
        <v>61</v>
      </c>
      <c r="T19" s="7">
        <v>0</v>
      </c>
      <c r="U19" s="9">
        <v>0.19236264013370499</v>
      </c>
      <c r="V19" s="9">
        <v>0</v>
      </c>
      <c r="W19" s="9">
        <v>1</v>
      </c>
      <c r="X19" s="17" t="s">
        <v>31</v>
      </c>
    </row>
    <row r="20" spans="2:24" x14ac:dyDescent="0.2">
      <c r="B20" s="2">
        <v>8</v>
      </c>
      <c r="C20" s="2" t="s">
        <v>38</v>
      </c>
      <c r="D20" s="4">
        <v>-0.43630051446812002</v>
      </c>
      <c r="E20" s="6">
        <v>0.213138585560364</v>
      </c>
      <c r="F20" s="6">
        <v>-2.0470273522789699</v>
      </c>
      <c r="G20" s="6">
        <v>4.0655399018378002E-2</v>
      </c>
      <c r="H20" s="2" t="s">
        <v>29</v>
      </c>
      <c r="J20" s="2">
        <v>8</v>
      </c>
      <c r="K20" s="2" t="s">
        <v>49</v>
      </c>
      <c r="L20" s="8">
        <v>-0.45600109417506901</v>
      </c>
      <c r="M20" s="9">
        <v>9.4367871062290207E-2</v>
      </c>
      <c r="N20" s="9">
        <v>-4.8321646874291897</v>
      </c>
      <c r="O20" s="9">
        <v>1.3505645937161799E-6</v>
      </c>
      <c r="P20" s="10" t="s">
        <v>29</v>
      </c>
      <c r="R20" s="2">
        <v>8</v>
      </c>
      <c r="S20" s="2" t="s">
        <v>62</v>
      </c>
      <c r="T20" s="7">
        <v>0</v>
      </c>
      <c r="U20" s="9">
        <v>6.5754997470798396E-2</v>
      </c>
      <c r="V20" s="9">
        <v>0</v>
      </c>
      <c r="W20" s="9">
        <v>1</v>
      </c>
      <c r="X20" s="17" t="s">
        <v>31</v>
      </c>
    </row>
    <row r="21" spans="2:24" x14ac:dyDescent="0.2">
      <c r="B21" s="2">
        <v>9</v>
      </c>
      <c r="C21" s="2" t="s">
        <v>39</v>
      </c>
      <c r="D21" s="4">
        <v>-0.37303809937627502</v>
      </c>
      <c r="E21" s="6">
        <v>0.17390483345232</v>
      </c>
      <c r="F21" s="6">
        <v>-2.1450703351413698</v>
      </c>
      <c r="G21" s="6">
        <v>3.1947223838115699E-2</v>
      </c>
      <c r="H21" s="2" t="s">
        <v>29</v>
      </c>
      <c r="J21" s="2">
        <v>9</v>
      </c>
      <c r="K21" s="2" t="s">
        <v>50</v>
      </c>
      <c r="L21" s="7">
        <v>0</v>
      </c>
      <c r="M21" s="9">
        <v>0.84268631331980703</v>
      </c>
      <c r="N21" s="9">
        <v>0</v>
      </c>
      <c r="O21" s="9">
        <v>1</v>
      </c>
      <c r="P21" s="17" t="s">
        <v>31</v>
      </c>
      <c r="R21" s="2">
        <v>9</v>
      </c>
      <c r="S21" s="2" t="s">
        <v>63</v>
      </c>
      <c r="T21" s="7">
        <v>0</v>
      </c>
      <c r="U21" s="9">
        <v>6.01792885960548E-2</v>
      </c>
      <c r="V21" s="9">
        <v>0</v>
      </c>
      <c r="W21" s="9">
        <v>1</v>
      </c>
      <c r="X21" s="17" t="s">
        <v>31</v>
      </c>
    </row>
    <row r="22" spans="2:24" x14ac:dyDescent="0.2">
      <c r="B22" s="2">
        <v>10</v>
      </c>
      <c r="C22" s="2" t="s">
        <v>40</v>
      </c>
      <c r="D22" s="4">
        <v>-2.0398552951732398</v>
      </c>
      <c r="E22" s="6">
        <v>0.52279829028376001</v>
      </c>
      <c r="F22" s="6">
        <v>-3.9018017715131799</v>
      </c>
      <c r="G22" s="6">
        <v>9.5479334154990799E-5</v>
      </c>
      <c r="H22" s="2" t="s">
        <v>29</v>
      </c>
      <c r="J22" s="2">
        <v>10</v>
      </c>
      <c r="K22" s="2" t="s">
        <v>51</v>
      </c>
      <c r="L22" s="8">
        <v>-1.5427769168676799</v>
      </c>
      <c r="M22" s="9">
        <v>0.37503687335830299</v>
      </c>
      <c r="N22" s="9">
        <v>-4.1136672857064296</v>
      </c>
      <c r="O22" s="9">
        <v>3.8942260082830402E-5</v>
      </c>
      <c r="P22" s="10" t="s">
        <v>29</v>
      </c>
      <c r="R22" s="2">
        <v>10</v>
      </c>
      <c r="S22" s="2" t="s">
        <v>36</v>
      </c>
      <c r="T22" s="8">
        <v>2.8831859154794199</v>
      </c>
      <c r="U22" s="9">
        <v>0.30234948238189302</v>
      </c>
      <c r="V22" s="9">
        <v>9.53593799058571</v>
      </c>
      <c r="W22" s="9">
        <v>0</v>
      </c>
      <c r="X22" s="10" t="s">
        <v>29</v>
      </c>
    </row>
    <row r="23" spans="2:24" x14ac:dyDescent="0.2">
      <c r="B23" s="11">
        <v>11</v>
      </c>
      <c r="C23" s="11" t="s">
        <v>41</v>
      </c>
      <c r="D23" s="22">
        <v>-1.43269037440511</v>
      </c>
      <c r="E23" s="13">
        <v>0.37587454120611302</v>
      </c>
      <c r="F23" s="13">
        <v>-3.8116185517855699</v>
      </c>
      <c r="G23" s="13">
        <v>1.3805981320769099E-4</v>
      </c>
      <c r="H23" s="11" t="s">
        <v>29</v>
      </c>
      <c r="J23" s="2">
        <v>11</v>
      </c>
      <c r="K23" s="2" t="s">
        <v>37</v>
      </c>
      <c r="L23" s="8">
        <v>1.7223741397085801</v>
      </c>
      <c r="M23" s="9">
        <v>0.49294259728531697</v>
      </c>
      <c r="N23" s="9">
        <v>3.4940663460489301</v>
      </c>
      <c r="O23" s="9">
        <v>4.7572277862761798E-4</v>
      </c>
      <c r="P23" s="10" t="s">
        <v>29</v>
      </c>
      <c r="R23" s="2">
        <v>11</v>
      </c>
      <c r="S23" s="2" t="s">
        <v>48</v>
      </c>
      <c r="T23" s="8">
        <v>-0.19003046427936501</v>
      </c>
      <c r="U23" s="9">
        <v>0.115307702761132</v>
      </c>
      <c r="V23" s="9">
        <v>-1.6480292272670201</v>
      </c>
      <c r="W23" s="9">
        <v>9.9346673732162605E-2</v>
      </c>
      <c r="X23" s="10" t="s">
        <v>29</v>
      </c>
    </row>
    <row r="24" spans="2:24" x14ac:dyDescent="0.2">
      <c r="B24" s="28" t="s">
        <v>43</v>
      </c>
      <c r="C24" s="28"/>
      <c r="D24" s="28"/>
      <c r="E24" s="28"/>
      <c r="F24" s="28"/>
      <c r="G24" s="28"/>
      <c r="H24" s="28"/>
      <c r="J24" s="2">
        <v>12</v>
      </c>
      <c r="K24" s="2" t="s">
        <v>52</v>
      </c>
      <c r="L24" s="8">
        <v>-0.42864872939934701</v>
      </c>
      <c r="M24" s="9">
        <v>0.27008902954191999</v>
      </c>
      <c r="N24" s="9">
        <v>-1.58706456951009</v>
      </c>
      <c r="O24" s="9">
        <v>0.112498021338427</v>
      </c>
      <c r="P24" s="10" t="s">
        <v>29</v>
      </c>
      <c r="R24" s="2">
        <v>12</v>
      </c>
      <c r="S24" s="2" t="s">
        <v>49</v>
      </c>
      <c r="T24" s="8">
        <v>-0.45775040347202001</v>
      </c>
      <c r="U24" s="9">
        <v>9.5369366217072801E-2</v>
      </c>
      <c r="V24" s="9">
        <v>-4.7997635050873804</v>
      </c>
      <c r="W24" s="9">
        <v>1.58853102205647E-6</v>
      </c>
      <c r="X24" s="10" t="s">
        <v>29</v>
      </c>
    </row>
    <row r="25" spans="2:24" x14ac:dyDescent="0.2">
      <c r="B25" t="s">
        <v>69</v>
      </c>
      <c r="C25">
        <v>12</v>
      </c>
      <c r="J25" s="2">
        <v>13</v>
      </c>
      <c r="K25" s="2" t="s">
        <v>53</v>
      </c>
      <c r="L25" s="8">
        <v>-0.28850923715625498</v>
      </c>
      <c r="M25" s="9">
        <v>0.21482560955434801</v>
      </c>
      <c r="N25" s="9">
        <v>-1.3429927547035101</v>
      </c>
      <c r="O25" s="9">
        <v>0.17927431991560799</v>
      </c>
      <c r="P25" s="10" t="s">
        <v>29</v>
      </c>
      <c r="R25" s="2">
        <v>13</v>
      </c>
      <c r="S25" s="2" t="s">
        <v>50</v>
      </c>
      <c r="T25" s="7">
        <v>0</v>
      </c>
      <c r="U25" s="9">
        <v>0.83970216833025302</v>
      </c>
      <c r="V25" s="9">
        <v>0</v>
      </c>
      <c r="W25" s="9">
        <v>1</v>
      </c>
      <c r="X25" s="17" t="s">
        <v>31</v>
      </c>
    </row>
    <row r="26" spans="2:24" x14ac:dyDescent="0.2">
      <c r="B26" t="s">
        <v>70</v>
      </c>
      <c r="C26">
        <v>232</v>
      </c>
      <c r="J26" s="2">
        <v>14</v>
      </c>
      <c r="K26" s="2" t="s">
        <v>54</v>
      </c>
      <c r="L26" s="8">
        <v>-2.0007221706562501</v>
      </c>
      <c r="M26" s="9">
        <v>0.60786244486207797</v>
      </c>
      <c r="N26" s="9">
        <v>-3.29140611920878</v>
      </c>
      <c r="O26" s="9">
        <v>9.9687883962795709E-4</v>
      </c>
      <c r="P26" s="10" t="s">
        <v>29</v>
      </c>
      <c r="R26" s="2">
        <v>14</v>
      </c>
      <c r="S26" s="2" t="s">
        <v>51</v>
      </c>
      <c r="T26" s="8">
        <v>-1.54145763742053</v>
      </c>
      <c r="U26" s="9">
        <v>0.37663151843576798</v>
      </c>
      <c r="V26" s="9">
        <v>-4.0927473192433297</v>
      </c>
      <c r="W26" s="9">
        <v>4.2629217737344398E-5</v>
      </c>
      <c r="X26" s="10" t="s">
        <v>29</v>
      </c>
    </row>
    <row r="27" spans="2:24" x14ac:dyDescent="0.2">
      <c r="B27" t="s">
        <v>71</v>
      </c>
      <c r="C27" s="20">
        <v>-534.19970000000001</v>
      </c>
      <c r="J27" s="11">
        <v>15</v>
      </c>
      <c r="K27" s="11" t="s">
        <v>55</v>
      </c>
      <c r="L27" s="23">
        <v>-1.4330928609197899</v>
      </c>
      <c r="M27" s="18">
        <v>0.38071144933946999</v>
      </c>
      <c r="N27" s="18">
        <v>-3.7642494424745898</v>
      </c>
      <c r="O27" s="18">
        <v>1.6705006959405401E-4</v>
      </c>
      <c r="P27" s="19" t="s">
        <v>29</v>
      </c>
      <c r="R27" s="2">
        <v>15</v>
      </c>
      <c r="S27" s="2" t="s">
        <v>37</v>
      </c>
      <c r="T27" s="8">
        <v>1.72571500036492</v>
      </c>
      <c r="U27" s="9">
        <v>0.48975715502273498</v>
      </c>
      <c r="V27" s="9">
        <v>3.5236136576398001</v>
      </c>
      <c r="W27" s="9">
        <v>4.2570447310419298E-4</v>
      </c>
      <c r="X27" s="10" t="s">
        <v>29</v>
      </c>
    </row>
    <row r="28" spans="2:24" x14ac:dyDescent="0.2">
      <c r="B28" t="s">
        <v>72</v>
      </c>
      <c r="C28" s="20">
        <v>-449.66449999999998</v>
      </c>
      <c r="J28" s="28" t="s">
        <v>43</v>
      </c>
      <c r="K28" s="28"/>
      <c r="L28" s="28"/>
      <c r="M28" s="28"/>
      <c r="N28" s="28"/>
      <c r="O28" s="28"/>
      <c r="P28" s="28"/>
      <c r="R28" s="2">
        <v>16</v>
      </c>
      <c r="S28" s="2" t="s">
        <v>52</v>
      </c>
      <c r="T28" s="8">
        <v>-0.42949486690768202</v>
      </c>
      <c r="U28" s="9">
        <v>0.27222664027480997</v>
      </c>
      <c r="V28" s="9">
        <v>-1.5777106402007901</v>
      </c>
      <c r="W28" s="9">
        <v>0.114632100753183</v>
      </c>
      <c r="X28" s="10" t="s">
        <v>29</v>
      </c>
    </row>
    <row r="29" spans="2:24" x14ac:dyDescent="0.2">
      <c r="B29" t="s">
        <v>73</v>
      </c>
      <c r="C29" s="20">
        <f>-2*(C27-C28)</f>
        <v>169.07040000000006</v>
      </c>
      <c r="J29" t="s">
        <v>69</v>
      </c>
      <c r="K29">
        <v>16</v>
      </c>
      <c r="L29" s="12"/>
      <c r="M29" s="12"/>
      <c r="N29" s="12"/>
      <c r="O29" s="12"/>
      <c r="R29" s="2">
        <v>17</v>
      </c>
      <c r="S29" s="2" t="s">
        <v>53</v>
      </c>
      <c r="T29" s="8">
        <v>-0.28752631658688699</v>
      </c>
      <c r="U29" s="9">
        <v>0.215337783918404</v>
      </c>
      <c r="V29" s="9">
        <v>-1.3352339350526401</v>
      </c>
      <c r="W29" s="9">
        <v>0.18179979343494601</v>
      </c>
      <c r="X29" s="10" t="s">
        <v>29</v>
      </c>
    </row>
    <row r="30" spans="2:24" x14ac:dyDescent="0.2">
      <c r="B30" t="s">
        <v>74</v>
      </c>
      <c r="C30" s="20">
        <v>923.32899999999995</v>
      </c>
      <c r="J30" t="s">
        <v>70</v>
      </c>
      <c r="K30">
        <v>232</v>
      </c>
      <c r="L30" s="12"/>
      <c r="M30" s="12"/>
      <c r="N30" s="12"/>
      <c r="O30" s="12"/>
      <c r="R30" s="2">
        <v>18</v>
      </c>
      <c r="S30" s="2" t="s">
        <v>54</v>
      </c>
      <c r="T30" s="8">
        <v>-2.00794991282276</v>
      </c>
      <c r="U30" s="9">
        <v>0.61259317774945199</v>
      </c>
      <c r="V30" s="9">
        <v>-3.2777869322664999</v>
      </c>
      <c r="W30" s="9">
        <v>1.0462433626807701E-3</v>
      </c>
      <c r="X30" s="10" t="s">
        <v>29</v>
      </c>
    </row>
    <row r="31" spans="2:24" x14ac:dyDescent="0.2">
      <c r="B31" t="s">
        <v>75</v>
      </c>
      <c r="C31" s="20">
        <v>964.68979999999999</v>
      </c>
      <c r="J31" t="s">
        <v>71</v>
      </c>
      <c r="K31" s="20">
        <v>-534.19970000000001</v>
      </c>
      <c r="L31" s="12"/>
      <c r="M31" s="12"/>
      <c r="N31" s="12"/>
      <c r="O31" s="12"/>
      <c r="R31" s="2">
        <v>19</v>
      </c>
      <c r="S31" s="2" t="s">
        <v>55</v>
      </c>
      <c r="T31" s="8">
        <v>-1.4319279336238799</v>
      </c>
      <c r="U31" s="9">
        <v>0.37928871992491098</v>
      </c>
      <c r="V31" s="9">
        <v>-3.77529796801592</v>
      </c>
      <c r="W31" s="9">
        <v>1.59816510302057E-4</v>
      </c>
      <c r="X31" s="10" t="s">
        <v>29</v>
      </c>
    </row>
    <row r="32" spans="2:24" x14ac:dyDescent="0.2">
      <c r="J32" t="s">
        <v>72</v>
      </c>
      <c r="K32" s="20">
        <v>-334.83010000000002</v>
      </c>
      <c r="L32" s="12"/>
      <c r="M32" s="12"/>
      <c r="N32" s="12"/>
      <c r="O32" s="12"/>
      <c r="R32" s="28" t="s">
        <v>43</v>
      </c>
      <c r="S32" s="28"/>
      <c r="T32" s="28"/>
      <c r="U32" s="28"/>
      <c r="V32" s="28"/>
      <c r="W32" s="28"/>
      <c r="X32" s="28"/>
    </row>
    <row r="33" spans="2:19" x14ac:dyDescent="0.2">
      <c r="B33" s="29" t="s">
        <v>78</v>
      </c>
      <c r="C33" s="29"/>
      <c r="D33" s="29"/>
      <c r="E33" s="29"/>
      <c r="F33" s="29"/>
      <c r="G33" s="29"/>
      <c r="H33" s="29"/>
      <c r="J33" t="s">
        <v>73</v>
      </c>
      <c r="K33" s="20">
        <f>-2*(K31-K32)</f>
        <v>398.73919999999998</v>
      </c>
      <c r="L33" s="12"/>
      <c r="M33" s="12"/>
      <c r="N33" s="12"/>
      <c r="O33" s="12"/>
      <c r="R33" t="s">
        <v>69</v>
      </c>
      <c r="S33">
        <v>20</v>
      </c>
    </row>
    <row r="34" spans="2:19" x14ac:dyDescent="0.2">
      <c r="B34" s="1" t="s">
        <v>68</v>
      </c>
      <c r="C34" s="1"/>
      <c r="D34" s="1"/>
      <c r="E34" s="1"/>
      <c r="F34" s="1"/>
      <c r="G34" s="1"/>
      <c r="H34" s="1"/>
      <c r="J34" t="s">
        <v>74</v>
      </c>
      <c r="K34" s="20">
        <v>701.66020000000003</v>
      </c>
      <c r="R34" t="s">
        <v>70</v>
      </c>
      <c r="S34">
        <v>232</v>
      </c>
    </row>
    <row r="35" spans="2:19" x14ac:dyDescent="0.2">
      <c r="J35" t="s">
        <v>75</v>
      </c>
      <c r="K35" s="20">
        <v>756.80799999999999</v>
      </c>
      <c r="R35" t="s">
        <v>71</v>
      </c>
      <c r="S35" s="20">
        <v>-534.19970000000001</v>
      </c>
    </row>
    <row r="36" spans="2:19" x14ac:dyDescent="0.2">
      <c r="B36" t="s">
        <v>64</v>
      </c>
      <c r="C36">
        <f>K29-C25</f>
        <v>4</v>
      </c>
      <c r="R36" t="s">
        <v>72</v>
      </c>
      <c r="S36" s="20">
        <v>-334.80180000000001</v>
      </c>
    </row>
    <row r="37" spans="2:19" x14ac:dyDescent="0.2">
      <c r="B37" t="s">
        <v>65</v>
      </c>
      <c r="C37" s="20">
        <f>-2*(C28-K32)</f>
        <v>229.66879999999992</v>
      </c>
      <c r="J37" s="29" t="s">
        <v>79</v>
      </c>
      <c r="K37" s="29"/>
      <c r="L37" s="29"/>
      <c r="M37" s="29"/>
      <c r="N37" s="29"/>
      <c r="O37" s="29"/>
      <c r="P37" s="29"/>
      <c r="R37" t="s">
        <v>73</v>
      </c>
      <c r="S37" s="20">
        <f>-2*(S35-S36)</f>
        <v>398.79579999999999</v>
      </c>
    </row>
    <row r="38" spans="2:19" ht="20" x14ac:dyDescent="0.25">
      <c r="B38" t="s">
        <v>66</v>
      </c>
      <c r="C38">
        <v>9.4879999999999995</v>
      </c>
      <c r="D38" s="16" t="s">
        <v>7</v>
      </c>
      <c r="E38" s="27" t="str">
        <f>IF(C37&lt;C38,"H0 cannot be rejected","H0 rejected")</f>
        <v>H0 rejected</v>
      </c>
      <c r="F38" s="27"/>
      <c r="G38" s="27"/>
      <c r="H38" s="27"/>
      <c r="J38" s="30" t="s">
        <v>67</v>
      </c>
      <c r="K38" s="30"/>
      <c r="L38" s="30"/>
      <c r="M38" s="30"/>
      <c r="N38" s="30"/>
      <c r="O38" s="30"/>
      <c r="P38" s="30"/>
      <c r="R38" t="s">
        <v>74</v>
      </c>
      <c r="S38" s="20">
        <v>709.60350000000005</v>
      </c>
    </row>
    <row r="39" spans="2:19" x14ac:dyDescent="0.2">
      <c r="R39" t="s">
        <v>75</v>
      </c>
      <c r="S39" s="20">
        <v>778.53830000000005</v>
      </c>
    </row>
    <row r="40" spans="2:19" x14ac:dyDescent="0.2">
      <c r="J40" t="s">
        <v>64</v>
      </c>
      <c r="K40">
        <f>COUNTA(S12:S31)-COUNTA(K12:K27)</f>
        <v>4</v>
      </c>
    </row>
    <row r="41" spans="2:19" x14ac:dyDescent="0.2">
      <c r="J41" t="s">
        <v>65</v>
      </c>
      <c r="K41" s="20">
        <f>-2*(K32-S36)</f>
        <v>5.6600000000003092E-2</v>
      </c>
    </row>
    <row r="42" spans="2:19" ht="20" x14ac:dyDescent="0.25">
      <c r="J42" t="s">
        <v>66</v>
      </c>
      <c r="K42">
        <v>9.4879999999999995</v>
      </c>
      <c r="L42" s="16" t="s">
        <v>7</v>
      </c>
      <c r="M42" s="27" t="str">
        <f>IF(K41&lt;K42,"H0 cannot be rejected","H0 rejected")</f>
        <v>H0 cannot be rejected</v>
      </c>
      <c r="N42" s="27"/>
      <c r="O42" s="27"/>
      <c r="P42" s="27"/>
    </row>
  </sheetData>
  <mergeCells count="11">
    <mergeCell ref="R32:X32"/>
    <mergeCell ref="J37:P37"/>
    <mergeCell ref="J10:P10"/>
    <mergeCell ref="R10:X10"/>
    <mergeCell ref="M42:P42"/>
    <mergeCell ref="B10:H10"/>
    <mergeCell ref="B24:H24"/>
    <mergeCell ref="J28:P28"/>
    <mergeCell ref="B33:H33"/>
    <mergeCell ref="E38:H38"/>
    <mergeCell ref="J38:P38"/>
  </mergeCells>
  <conditionalFormatting sqref="E38:H38">
    <cfRule type="cellIs" dxfId="83" priority="3" operator="equal">
      <formula>"H0 cannot be rejected"</formula>
    </cfRule>
    <cfRule type="cellIs" dxfId="82" priority="4" operator="equal">
      <formula>"H0 rejected"</formula>
    </cfRule>
  </conditionalFormatting>
  <conditionalFormatting sqref="M42:P42">
    <cfRule type="cellIs" dxfId="79" priority="1" operator="equal">
      <formula>"H0 cannot be rejected"</formula>
    </cfRule>
    <cfRule type="cellIs" dxfId="78" priority="2" operator="equal">
      <formula>"H0 rejected"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17ACF-5903-F74A-A6C7-86FB239702CA}">
  <sheetPr>
    <tabColor rgb="FF92D050"/>
  </sheetPr>
  <dimension ref="B2:P40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21" t="s">
        <v>8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2:16" x14ac:dyDescent="0.2">
      <c r="B4" s="19" t="s">
        <v>76</v>
      </c>
      <c r="C4" s="19" t="s">
        <v>77</v>
      </c>
      <c r="D4" s="2"/>
      <c r="E4" s="2"/>
      <c r="F4" s="2"/>
    </row>
    <row r="5" spans="2:16" x14ac:dyDescent="0.2">
      <c r="B5" s="10" t="s">
        <v>0</v>
      </c>
      <c r="C5" s="5" t="s">
        <v>5</v>
      </c>
      <c r="D5" s="2"/>
      <c r="E5" s="2"/>
      <c r="F5" s="2"/>
    </row>
    <row r="6" spans="2:16" x14ac:dyDescent="0.2">
      <c r="B6" s="10" t="s">
        <v>2</v>
      </c>
      <c r="C6" s="5" t="s">
        <v>5</v>
      </c>
      <c r="D6" s="2"/>
      <c r="E6" s="2"/>
      <c r="F6" s="2"/>
    </row>
    <row r="7" spans="2:16" x14ac:dyDescent="0.2">
      <c r="B7" s="10" t="s">
        <v>3</v>
      </c>
      <c r="C7" s="5" t="s">
        <v>6</v>
      </c>
      <c r="D7" s="2"/>
      <c r="E7" s="2"/>
      <c r="F7" s="2"/>
    </row>
    <row r="9" spans="2:16" x14ac:dyDescent="0.2">
      <c r="B9" s="26" t="s">
        <v>94</v>
      </c>
      <c r="C9" s="26"/>
      <c r="D9" s="26"/>
      <c r="E9" s="26"/>
      <c r="F9" s="26"/>
      <c r="G9" s="26"/>
      <c r="H9" s="26"/>
      <c r="J9" s="26" t="s">
        <v>95</v>
      </c>
      <c r="K9" s="26"/>
      <c r="L9" s="26"/>
      <c r="M9" s="26"/>
      <c r="N9" s="26"/>
      <c r="O9" s="26"/>
      <c r="P9" s="26"/>
    </row>
    <row r="10" spans="2:16" x14ac:dyDescent="0.2">
      <c r="B10" s="11" t="s">
        <v>42</v>
      </c>
      <c r="C10" s="11" t="s">
        <v>22</v>
      </c>
      <c r="D10" s="13" t="s">
        <v>23</v>
      </c>
      <c r="E10" s="13" t="s">
        <v>24</v>
      </c>
      <c r="F10" s="13" t="s">
        <v>25</v>
      </c>
      <c r="G10" s="13" t="s">
        <v>26</v>
      </c>
      <c r="H10" s="11" t="s">
        <v>27</v>
      </c>
      <c r="J10" s="11" t="s">
        <v>42</v>
      </c>
      <c r="K10" s="11" t="s">
        <v>22</v>
      </c>
      <c r="L10" s="11" t="s">
        <v>23</v>
      </c>
      <c r="M10" s="11" t="s">
        <v>24</v>
      </c>
      <c r="N10" s="11" t="s">
        <v>25</v>
      </c>
      <c r="O10" s="11" t="s">
        <v>26</v>
      </c>
      <c r="P10" s="11" t="s">
        <v>27</v>
      </c>
    </row>
    <row r="11" spans="2:16" x14ac:dyDescent="0.2">
      <c r="B11" s="2">
        <v>0</v>
      </c>
      <c r="C11" s="2" t="s">
        <v>28</v>
      </c>
      <c r="D11" s="4">
        <v>1.08351498615751</v>
      </c>
      <c r="E11" s="6">
        <v>0.40247187134641399</v>
      </c>
      <c r="F11" s="6">
        <v>2.6921508390953202</v>
      </c>
      <c r="G11" s="6">
        <v>7.09928287078409E-3</v>
      </c>
      <c r="H11" s="2" t="s">
        <v>29</v>
      </c>
      <c r="J11" s="2">
        <v>0</v>
      </c>
      <c r="K11" s="2" t="s">
        <v>28</v>
      </c>
      <c r="L11" s="8">
        <v>0.30251438787885898</v>
      </c>
      <c r="M11" s="9">
        <v>0.42304139444404998</v>
      </c>
      <c r="N11" s="9">
        <v>0.71509405900199297</v>
      </c>
      <c r="O11" s="9">
        <v>0.47455092473573202</v>
      </c>
      <c r="P11" s="10" t="s">
        <v>29</v>
      </c>
    </row>
    <row r="12" spans="2:16" x14ac:dyDescent="0.2">
      <c r="B12" s="2">
        <v>1</v>
      </c>
      <c r="C12" s="2" t="s">
        <v>30</v>
      </c>
      <c r="D12" s="7">
        <v>0</v>
      </c>
      <c r="E12" s="6">
        <v>0.178894234862054</v>
      </c>
      <c r="F12" s="6">
        <v>0</v>
      </c>
      <c r="G12" s="6">
        <v>1</v>
      </c>
      <c r="H12" s="17" t="s">
        <v>31</v>
      </c>
      <c r="J12" s="2">
        <v>1</v>
      </c>
      <c r="K12" s="2" t="s">
        <v>56</v>
      </c>
      <c r="L12" s="7">
        <v>0</v>
      </c>
      <c r="M12" s="9">
        <v>0.18967785898458001</v>
      </c>
      <c r="N12" s="9">
        <v>0</v>
      </c>
      <c r="O12" s="9">
        <v>1</v>
      </c>
      <c r="P12" s="17" t="s">
        <v>31</v>
      </c>
    </row>
    <row r="13" spans="2:16" x14ac:dyDescent="0.2">
      <c r="B13" s="2">
        <v>2</v>
      </c>
      <c r="C13" s="2" t="s">
        <v>32</v>
      </c>
      <c r="D13" s="7">
        <v>0</v>
      </c>
      <c r="E13" s="6">
        <v>0.126724785823324</v>
      </c>
      <c r="F13" s="6">
        <v>0</v>
      </c>
      <c r="G13" s="6">
        <v>1</v>
      </c>
      <c r="H13" s="17" t="s">
        <v>31</v>
      </c>
      <c r="J13" s="2">
        <v>2</v>
      </c>
      <c r="K13" s="2" t="s">
        <v>57</v>
      </c>
      <c r="L13" s="7">
        <v>0</v>
      </c>
      <c r="M13" s="9">
        <v>0.25410395990568002</v>
      </c>
      <c r="N13" s="9">
        <v>0</v>
      </c>
      <c r="O13" s="9">
        <v>1</v>
      </c>
      <c r="P13" s="17" t="s">
        <v>31</v>
      </c>
    </row>
    <row r="14" spans="2:16" x14ac:dyDescent="0.2">
      <c r="B14" s="2">
        <v>3</v>
      </c>
      <c r="C14" s="2" t="s">
        <v>33</v>
      </c>
      <c r="D14" s="7">
        <v>0</v>
      </c>
      <c r="E14" s="6">
        <v>0.39082059431967697</v>
      </c>
      <c r="F14" s="6">
        <v>0</v>
      </c>
      <c r="G14" s="6">
        <v>1</v>
      </c>
      <c r="H14" s="17" t="s">
        <v>31</v>
      </c>
      <c r="J14" s="2">
        <v>3</v>
      </c>
      <c r="K14" s="2" t="s">
        <v>58</v>
      </c>
      <c r="L14" s="7">
        <v>0</v>
      </c>
      <c r="M14" s="9">
        <v>0.38869805844795002</v>
      </c>
      <c r="N14" s="9">
        <v>0</v>
      </c>
      <c r="O14" s="9">
        <v>1</v>
      </c>
      <c r="P14" s="17" t="s">
        <v>31</v>
      </c>
    </row>
    <row r="15" spans="2:16" x14ac:dyDescent="0.2">
      <c r="B15" s="2">
        <v>4</v>
      </c>
      <c r="C15" s="2" t="s">
        <v>34</v>
      </c>
      <c r="D15" s="4">
        <v>-0.90719954617215703</v>
      </c>
      <c r="E15" s="6">
        <v>0.17997405990153201</v>
      </c>
      <c r="F15" s="6">
        <v>-5.0407239058145601</v>
      </c>
      <c r="G15" s="6">
        <v>4.6377415441334298E-7</v>
      </c>
      <c r="H15" s="2" t="s">
        <v>29</v>
      </c>
      <c r="J15" s="2">
        <v>4</v>
      </c>
      <c r="K15" s="2" t="s">
        <v>59</v>
      </c>
      <c r="L15" s="8">
        <v>-0.39050501741999599</v>
      </c>
      <c r="M15" s="9">
        <v>9.9484276088634596E-2</v>
      </c>
      <c r="N15" s="9">
        <v>-3.9252938531922301</v>
      </c>
      <c r="O15" s="9">
        <v>8.6623926898177203E-5</v>
      </c>
      <c r="P15" s="10" t="s">
        <v>29</v>
      </c>
    </row>
    <row r="16" spans="2:16" x14ac:dyDescent="0.2">
      <c r="B16" s="2">
        <v>5</v>
      </c>
      <c r="C16" s="2" t="s">
        <v>36</v>
      </c>
      <c r="D16" s="4">
        <v>1.9907542160479299</v>
      </c>
      <c r="E16" s="6">
        <v>0.53301113170950898</v>
      </c>
      <c r="F16" s="6">
        <v>3.7349205253238398</v>
      </c>
      <c r="G16" s="6">
        <v>1.8777447707329901E-4</v>
      </c>
      <c r="H16" s="2" t="s">
        <v>29</v>
      </c>
      <c r="J16" s="2">
        <v>5</v>
      </c>
      <c r="K16" s="2" t="s">
        <v>36</v>
      </c>
      <c r="L16" s="8">
        <v>3.1057431087395102</v>
      </c>
      <c r="M16" s="9">
        <v>0.70600221785736095</v>
      </c>
      <c r="N16" s="9">
        <v>4.3990557397469701</v>
      </c>
      <c r="O16" s="9">
        <v>1.08722901659419E-5</v>
      </c>
      <c r="P16" s="10" t="s">
        <v>29</v>
      </c>
    </row>
    <row r="17" spans="2:16" x14ac:dyDescent="0.2">
      <c r="B17" s="2">
        <v>6</v>
      </c>
      <c r="C17" s="2" t="s">
        <v>37</v>
      </c>
      <c r="D17" s="4">
        <v>1.8712256617152001</v>
      </c>
      <c r="E17" s="6">
        <v>0.44157770495405901</v>
      </c>
      <c r="F17" s="6">
        <v>4.2375908944720901</v>
      </c>
      <c r="G17" s="6">
        <v>2.2593096417056199E-5</v>
      </c>
      <c r="H17" s="2" t="s">
        <v>29</v>
      </c>
      <c r="J17" s="2">
        <v>6</v>
      </c>
      <c r="K17" s="2" t="s">
        <v>48</v>
      </c>
      <c r="L17" s="7">
        <v>0</v>
      </c>
      <c r="M17" s="9">
        <v>0.28118130281861697</v>
      </c>
      <c r="N17" s="9">
        <v>0</v>
      </c>
      <c r="O17" s="9">
        <v>1</v>
      </c>
      <c r="P17" s="17" t="s">
        <v>31</v>
      </c>
    </row>
    <row r="18" spans="2:16" x14ac:dyDescent="0.2">
      <c r="B18" s="2">
        <v>7</v>
      </c>
      <c r="C18" s="2" t="s">
        <v>38</v>
      </c>
      <c r="D18" s="4">
        <v>-0.73525882335004999</v>
      </c>
      <c r="E18" s="6">
        <v>0.26393898186968701</v>
      </c>
      <c r="F18" s="6">
        <v>-2.7857151609119302</v>
      </c>
      <c r="G18" s="6">
        <v>5.3409781059467996E-3</v>
      </c>
      <c r="H18" s="2" t="s">
        <v>29</v>
      </c>
      <c r="J18" s="2">
        <v>7</v>
      </c>
      <c r="K18" s="2" t="s">
        <v>49</v>
      </c>
      <c r="L18" s="8">
        <v>-0.15722474074616</v>
      </c>
      <c r="M18" s="9">
        <v>0.18522125636620401</v>
      </c>
      <c r="N18" s="9">
        <v>-0.84884825764980398</v>
      </c>
      <c r="O18" s="9">
        <v>0.39596573357553899</v>
      </c>
      <c r="P18" s="10" t="s">
        <v>29</v>
      </c>
    </row>
    <row r="19" spans="2:16" x14ac:dyDescent="0.2">
      <c r="B19" s="2">
        <v>8</v>
      </c>
      <c r="C19" s="2" t="s">
        <v>39</v>
      </c>
      <c r="D19" s="4">
        <v>-0.384767391718214</v>
      </c>
      <c r="E19" s="6">
        <v>0.33966504978575501</v>
      </c>
      <c r="F19" s="6">
        <v>-1.1327847594590801</v>
      </c>
      <c r="G19" s="6">
        <v>0.257304653133624</v>
      </c>
      <c r="H19" s="2" t="s">
        <v>29</v>
      </c>
      <c r="J19" s="2">
        <v>8</v>
      </c>
      <c r="K19" s="2" t="s">
        <v>50</v>
      </c>
      <c r="L19" s="7">
        <v>0</v>
      </c>
      <c r="M19" s="9">
        <v>1.7143914555616799</v>
      </c>
      <c r="N19" s="9">
        <v>0</v>
      </c>
      <c r="O19" s="9">
        <v>1</v>
      </c>
      <c r="P19" s="17" t="s">
        <v>31</v>
      </c>
    </row>
    <row r="20" spans="2:16" x14ac:dyDescent="0.2">
      <c r="B20" s="2">
        <v>9</v>
      </c>
      <c r="C20" s="2" t="s">
        <v>40</v>
      </c>
      <c r="D20" s="4">
        <v>-1.5368958932610799</v>
      </c>
      <c r="E20" s="6">
        <v>0.60149305334601899</v>
      </c>
      <c r="F20" s="6">
        <v>-2.5551349009129001</v>
      </c>
      <c r="G20" s="6">
        <v>1.06146651042822E-2</v>
      </c>
      <c r="H20" s="2" t="s">
        <v>29</v>
      </c>
      <c r="J20" s="2">
        <v>9</v>
      </c>
      <c r="K20" s="2" t="s">
        <v>51</v>
      </c>
      <c r="L20" s="8">
        <v>-3.3089712979739998</v>
      </c>
      <c r="M20" s="9">
        <v>1.18043316485655</v>
      </c>
      <c r="N20" s="9">
        <v>-2.8031839467811799</v>
      </c>
      <c r="O20" s="9">
        <v>5.0600800065514397E-3</v>
      </c>
      <c r="P20" s="10" t="s">
        <v>29</v>
      </c>
    </row>
    <row r="21" spans="2:16" x14ac:dyDescent="0.2">
      <c r="B21" s="11">
        <v>10</v>
      </c>
      <c r="C21" s="11" t="s">
        <v>41</v>
      </c>
      <c r="D21" s="22">
        <v>-0.86323669850525697</v>
      </c>
      <c r="E21" s="13">
        <v>0.22674807718099099</v>
      </c>
      <c r="F21" s="13">
        <v>-3.8070298510898399</v>
      </c>
      <c r="G21" s="13">
        <v>1.4064577435335399E-4</v>
      </c>
      <c r="H21" s="11" t="s">
        <v>29</v>
      </c>
      <c r="J21" s="2">
        <v>10</v>
      </c>
      <c r="K21" s="2" t="s">
        <v>37</v>
      </c>
      <c r="L21" s="8">
        <v>1.5791923314219101</v>
      </c>
      <c r="M21" s="9">
        <v>0.51866711925256803</v>
      </c>
      <c r="N21" s="9">
        <v>3.0447126351437701</v>
      </c>
      <c r="O21" s="9">
        <v>2.3290272748210899E-3</v>
      </c>
      <c r="P21" s="10" t="s">
        <v>29</v>
      </c>
    </row>
    <row r="22" spans="2:16" x14ac:dyDescent="0.2">
      <c r="B22" s="28" t="s">
        <v>43</v>
      </c>
      <c r="C22" s="28"/>
      <c r="D22" s="28"/>
      <c r="E22" s="28"/>
      <c r="F22" s="28"/>
      <c r="G22" s="28"/>
      <c r="H22" s="28"/>
      <c r="J22" s="2">
        <v>11</v>
      </c>
      <c r="K22" s="2" t="s">
        <v>52</v>
      </c>
      <c r="L22" s="8">
        <v>-0.69674265993715201</v>
      </c>
      <c r="M22" s="9">
        <v>0.290262846950816</v>
      </c>
      <c r="N22" s="9">
        <v>-2.4003852620353099</v>
      </c>
      <c r="O22" s="9">
        <v>1.6377824299996301E-2</v>
      </c>
      <c r="P22" s="10" t="s">
        <v>29</v>
      </c>
    </row>
    <row r="23" spans="2:16" x14ac:dyDescent="0.2">
      <c r="B23" t="s">
        <v>69</v>
      </c>
      <c r="C23">
        <v>11</v>
      </c>
      <c r="J23" s="2">
        <v>12</v>
      </c>
      <c r="K23" s="2" t="s">
        <v>53</v>
      </c>
      <c r="L23" s="8">
        <v>-0.41526158223929499</v>
      </c>
      <c r="M23" s="9">
        <v>0.36786009629043798</v>
      </c>
      <c r="N23" s="9">
        <v>-1.12885737384093</v>
      </c>
      <c r="O23" s="9">
        <v>0.25895800498348398</v>
      </c>
      <c r="P23" s="10" t="s">
        <v>29</v>
      </c>
    </row>
    <row r="24" spans="2:16" x14ac:dyDescent="0.2">
      <c r="B24" t="s">
        <v>70</v>
      </c>
      <c r="C24">
        <v>89</v>
      </c>
      <c r="J24" s="2">
        <v>13</v>
      </c>
      <c r="K24" s="2" t="s">
        <v>54</v>
      </c>
      <c r="L24" s="8">
        <v>-1.1960816217449399</v>
      </c>
      <c r="M24" s="9">
        <v>0.63198442979281</v>
      </c>
      <c r="N24" s="9">
        <v>-1.89258083800745</v>
      </c>
      <c r="O24" s="9">
        <v>5.8413634015647503E-2</v>
      </c>
      <c r="P24" s="10" t="s">
        <v>29</v>
      </c>
    </row>
    <row r="25" spans="2:16" x14ac:dyDescent="0.2">
      <c r="B25" t="s">
        <v>71</v>
      </c>
      <c r="C25" s="20">
        <v>-204.93010000000001</v>
      </c>
      <c r="J25" s="11">
        <v>14</v>
      </c>
      <c r="K25" s="11" t="s">
        <v>55</v>
      </c>
      <c r="L25" s="23">
        <v>-0.89469287702528899</v>
      </c>
      <c r="M25" s="18">
        <v>0.24199297175526999</v>
      </c>
      <c r="N25" s="18">
        <v>-3.6971853791278702</v>
      </c>
      <c r="O25" s="18">
        <v>2.1800314898578999E-4</v>
      </c>
      <c r="P25" s="19" t="s">
        <v>29</v>
      </c>
    </row>
    <row r="26" spans="2:16" x14ac:dyDescent="0.2">
      <c r="B26" t="s">
        <v>72</v>
      </c>
      <c r="C26" s="20">
        <v>-112.8862</v>
      </c>
      <c r="J26" s="28" t="s">
        <v>43</v>
      </c>
      <c r="K26" s="28"/>
      <c r="L26" s="28"/>
      <c r="M26" s="28"/>
      <c r="N26" s="28"/>
      <c r="O26" s="28"/>
      <c r="P26" s="28"/>
    </row>
    <row r="27" spans="2:16" x14ac:dyDescent="0.2">
      <c r="B27" t="s">
        <v>73</v>
      </c>
      <c r="C27" s="20">
        <f>-2*(C25-C26)</f>
        <v>184.08780000000002</v>
      </c>
      <c r="J27" t="s">
        <v>69</v>
      </c>
      <c r="K27">
        <v>15</v>
      </c>
      <c r="L27" s="12"/>
      <c r="M27" s="12"/>
      <c r="N27" s="12"/>
      <c r="O27" s="12"/>
    </row>
    <row r="28" spans="2:16" x14ac:dyDescent="0.2">
      <c r="B28" t="s">
        <v>74</v>
      </c>
      <c r="C28" s="20">
        <v>247.7723</v>
      </c>
      <c r="J28" t="s">
        <v>70</v>
      </c>
      <c r="K28">
        <v>89</v>
      </c>
      <c r="L28" s="12"/>
      <c r="M28" s="12"/>
      <c r="N28" s="12"/>
      <c r="O28" s="12"/>
    </row>
    <row r="29" spans="2:16" x14ac:dyDescent="0.2">
      <c r="B29" t="s">
        <v>75</v>
      </c>
      <c r="C29" s="20">
        <v>275.14729999999997</v>
      </c>
      <c r="J29" t="s">
        <v>71</v>
      </c>
      <c r="K29" s="20">
        <v>-204.93010000000001</v>
      </c>
      <c r="L29" s="12"/>
      <c r="M29" s="12"/>
      <c r="N29" s="12"/>
      <c r="O29" s="12"/>
    </row>
    <row r="30" spans="2:16" x14ac:dyDescent="0.2">
      <c r="J30" t="s">
        <v>72</v>
      </c>
      <c r="K30" s="20">
        <v>-88.608710000000002</v>
      </c>
      <c r="L30" s="12"/>
      <c r="M30" s="12"/>
      <c r="N30" s="12"/>
      <c r="O30" s="12"/>
    </row>
    <row r="31" spans="2:16" x14ac:dyDescent="0.2">
      <c r="B31" s="29" t="s">
        <v>78</v>
      </c>
      <c r="C31" s="29"/>
      <c r="D31" s="29"/>
      <c r="E31" s="29"/>
      <c r="F31" s="29"/>
      <c r="G31" s="29"/>
      <c r="H31" s="29"/>
      <c r="J31" t="s">
        <v>73</v>
      </c>
      <c r="K31" s="20">
        <f>-2*(K29-K30)</f>
        <v>232.64278000000002</v>
      </c>
      <c r="L31" s="12"/>
      <c r="M31" s="12"/>
      <c r="N31" s="12"/>
      <c r="O31" s="12"/>
    </row>
    <row r="32" spans="2:16" x14ac:dyDescent="0.2">
      <c r="B32" s="1" t="s">
        <v>68</v>
      </c>
      <c r="C32" s="1"/>
      <c r="D32" s="1"/>
      <c r="E32" s="1"/>
      <c r="F32" s="1"/>
      <c r="G32" s="1"/>
      <c r="H32" s="1"/>
      <c r="J32" t="s">
        <v>74</v>
      </c>
      <c r="K32" s="20">
        <v>207.2174</v>
      </c>
    </row>
    <row r="33" spans="2:16" x14ac:dyDescent="0.2">
      <c r="J33" t="s">
        <v>75</v>
      </c>
      <c r="K33" s="20">
        <v>244.547</v>
      </c>
    </row>
    <row r="34" spans="2:16" x14ac:dyDescent="0.2">
      <c r="B34" t="s">
        <v>64</v>
      </c>
      <c r="C34">
        <f>K27-C23</f>
        <v>4</v>
      </c>
    </row>
    <row r="35" spans="2:16" x14ac:dyDescent="0.2">
      <c r="B35" t="s">
        <v>65</v>
      </c>
      <c r="C35" s="20">
        <f>-2*(C26-K30)</f>
        <v>48.55498</v>
      </c>
      <c r="J35" s="14"/>
      <c r="K35" s="14"/>
      <c r="L35" s="14"/>
      <c r="M35" s="14"/>
      <c r="N35" s="14"/>
      <c r="O35" s="14"/>
      <c r="P35" s="14"/>
    </row>
    <row r="36" spans="2:16" ht="20" x14ac:dyDescent="0.25">
      <c r="B36" t="s">
        <v>66</v>
      </c>
      <c r="C36">
        <v>9.4879999999999995</v>
      </c>
      <c r="D36" s="16" t="s">
        <v>7</v>
      </c>
      <c r="E36" s="27" t="str">
        <f>IF(C35&lt;C36,"H0 cannot be rejected","H0 rejected")</f>
        <v>H0 rejected</v>
      </c>
      <c r="F36" s="27"/>
      <c r="G36" s="27"/>
      <c r="H36" s="27"/>
      <c r="J36" s="1"/>
      <c r="K36" s="1"/>
      <c r="L36" s="1"/>
      <c r="M36" s="1"/>
      <c r="N36" s="1"/>
      <c r="O36" s="1"/>
      <c r="P36" s="1"/>
    </row>
    <row r="40" spans="2:16" x14ac:dyDescent="0.2">
      <c r="L40" s="3"/>
      <c r="M40" s="25"/>
      <c r="N40" s="24"/>
      <c r="O40" s="24"/>
      <c r="P40" s="24"/>
    </row>
  </sheetData>
  <mergeCells count="6">
    <mergeCell ref="E36:H36"/>
    <mergeCell ref="J26:P26"/>
    <mergeCell ref="B22:H22"/>
    <mergeCell ref="B31:H31"/>
    <mergeCell ref="J9:P9"/>
    <mergeCell ref="B9:H9"/>
  </mergeCells>
  <conditionalFormatting sqref="E36:H36">
    <cfRule type="cellIs" dxfId="75" priority="3" operator="equal">
      <formula>"H0 cannot be rejected"</formula>
    </cfRule>
    <cfRule type="cellIs" dxfId="74" priority="4" operator="equal">
      <formula>"H0 rejected"</formula>
    </cfRule>
  </conditionalFormatting>
  <conditionalFormatting sqref="M40:P40">
    <cfRule type="cellIs" dxfId="73" priority="1" operator="equal">
      <formula>"H0 cannot be rejected"</formula>
    </cfRule>
    <cfRule type="cellIs" dxfId="72" priority="2" operator="equal">
      <formula>"H0 rejected"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3349-9B86-484E-B355-9C021ACB64B6}">
  <sheetPr>
    <tabColor rgb="FF92D050"/>
  </sheetPr>
  <dimension ref="B2:X42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21" t="s">
        <v>9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2:24" x14ac:dyDescent="0.2">
      <c r="B4" s="19" t="s">
        <v>76</v>
      </c>
      <c r="C4" s="19" t="s">
        <v>77</v>
      </c>
      <c r="D4" s="2"/>
      <c r="E4" s="2"/>
      <c r="F4" s="2"/>
    </row>
    <row r="5" spans="2:24" x14ac:dyDescent="0.2">
      <c r="B5" s="10" t="s">
        <v>0</v>
      </c>
      <c r="C5" s="5" t="s">
        <v>5</v>
      </c>
      <c r="D5" s="2"/>
      <c r="E5" s="2"/>
      <c r="F5" s="2"/>
    </row>
    <row r="6" spans="2:24" x14ac:dyDescent="0.2">
      <c r="B6" s="10" t="s">
        <v>1</v>
      </c>
      <c r="C6" s="5" t="s">
        <v>5</v>
      </c>
      <c r="D6" s="2"/>
      <c r="E6" s="2"/>
      <c r="F6" s="2"/>
    </row>
    <row r="7" spans="2:24" x14ac:dyDescent="0.2">
      <c r="B7" s="10" t="s">
        <v>2</v>
      </c>
      <c r="C7" s="5" t="s">
        <v>5</v>
      </c>
      <c r="D7" s="2"/>
      <c r="E7" s="2"/>
      <c r="F7" s="2"/>
    </row>
    <row r="8" spans="2:24" x14ac:dyDescent="0.2">
      <c r="B8" s="10" t="s">
        <v>3</v>
      </c>
      <c r="C8" s="5" t="s">
        <v>6</v>
      </c>
      <c r="D8" s="2"/>
      <c r="E8" s="2"/>
      <c r="F8" s="2"/>
    </row>
    <row r="10" spans="2:24" x14ac:dyDescent="0.2">
      <c r="B10" s="26" t="s">
        <v>94</v>
      </c>
      <c r="C10" s="26"/>
      <c r="D10" s="26"/>
      <c r="E10" s="26"/>
      <c r="F10" s="26"/>
      <c r="G10" s="26"/>
      <c r="H10" s="26"/>
      <c r="J10" s="26" t="s">
        <v>93</v>
      </c>
      <c r="K10" s="26"/>
      <c r="L10" s="26"/>
      <c r="M10" s="26"/>
      <c r="N10" s="26"/>
      <c r="O10" s="26"/>
      <c r="P10" s="26"/>
      <c r="R10" s="26" t="s">
        <v>95</v>
      </c>
      <c r="S10" s="26"/>
      <c r="T10" s="26"/>
      <c r="U10" s="26"/>
      <c r="V10" s="26"/>
      <c r="W10" s="26"/>
      <c r="X10" s="26"/>
    </row>
    <row r="11" spans="2:24" x14ac:dyDescent="0.2">
      <c r="B11" s="11" t="s">
        <v>42</v>
      </c>
      <c r="C11" s="11" t="s">
        <v>22</v>
      </c>
      <c r="D11" s="13" t="s">
        <v>23</v>
      </c>
      <c r="E11" s="13" t="s">
        <v>24</v>
      </c>
      <c r="F11" s="13" t="s">
        <v>25</v>
      </c>
      <c r="G11" s="13" t="s">
        <v>26</v>
      </c>
      <c r="H11" s="11" t="s">
        <v>27</v>
      </c>
      <c r="J11" s="11" t="s">
        <v>42</v>
      </c>
      <c r="K11" s="11" t="s">
        <v>22</v>
      </c>
      <c r="L11" s="11" t="s">
        <v>23</v>
      </c>
      <c r="M11" s="11" t="s">
        <v>24</v>
      </c>
      <c r="N11" s="11" t="s">
        <v>25</v>
      </c>
      <c r="O11" s="11" t="s">
        <v>26</v>
      </c>
      <c r="P11" s="11" t="s">
        <v>27</v>
      </c>
      <c r="R11" s="11" t="s">
        <v>42</v>
      </c>
      <c r="S11" s="11" t="s">
        <v>22</v>
      </c>
      <c r="T11" s="11" t="s">
        <v>23</v>
      </c>
      <c r="U11" s="11" t="s">
        <v>24</v>
      </c>
      <c r="V11" s="11" t="s">
        <v>25</v>
      </c>
      <c r="W11" s="11" t="s">
        <v>26</v>
      </c>
      <c r="X11" s="11" t="s">
        <v>27</v>
      </c>
    </row>
    <row r="12" spans="2:24" x14ac:dyDescent="0.2">
      <c r="B12" s="2">
        <v>0</v>
      </c>
      <c r="C12" s="2" t="s">
        <v>28</v>
      </c>
      <c r="D12" s="7">
        <v>0</v>
      </c>
      <c r="E12" s="6">
        <v>0.33802274970969498</v>
      </c>
      <c r="F12" s="6">
        <v>0</v>
      </c>
      <c r="G12" s="6">
        <v>1</v>
      </c>
      <c r="H12" s="17" t="s">
        <v>31</v>
      </c>
      <c r="J12" s="2">
        <v>0</v>
      </c>
      <c r="K12" s="2" t="s">
        <v>28</v>
      </c>
      <c r="L12" s="7">
        <v>0</v>
      </c>
      <c r="M12" s="9">
        <v>0.38122892850416001</v>
      </c>
      <c r="N12" s="9">
        <v>0</v>
      </c>
      <c r="O12" s="9">
        <v>1</v>
      </c>
      <c r="P12" s="17" t="s">
        <v>31</v>
      </c>
      <c r="R12" s="2">
        <v>0</v>
      </c>
      <c r="S12" s="2" t="s">
        <v>28</v>
      </c>
      <c r="T12" s="8">
        <v>1.2904636500381801</v>
      </c>
      <c r="U12" s="9">
        <v>0.74021926548011197</v>
      </c>
      <c r="V12" s="9">
        <v>1.7433532335870501</v>
      </c>
      <c r="W12" s="9">
        <v>8.1271931973078498E-2</v>
      </c>
      <c r="X12" s="10" t="s">
        <v>29</v>
      </c>
    </row>
    <row r="13" spans="2:24" x14ac:dyDescent="0.2">
      <c r="B13" s="2">
        <v>1</v>
      </c>
      <c r="C13" s="2" t="s">
        <v>30</v>
      </c>
      <c r="D13" s="7">
        <v>0</v>
      </c>
      <c r="E13" s="6">
        <v>0.145460748321141</v>
      </c>
      <c r="F13" s="6">
        <v>0</v>
      </c>
      <c r="G13" s="6">
        <v>1</v>
      </c>
      <c r="H13" s="17" t="s">
        <v>31</v>
      </c>
      <c r="J13" s="2">
        <v>1</v>
      </c>
      <c r="K13" s="2" t="s">
        <v>44</v>
      </c>
      <c r="L13" s="8">
        <v>-0.29804094140334803</v>
      </c>
      <c r="M13" s="9">
        <v>0.22370579590703299</v>
      </c>
      <c r="N13" s="9">
        <v>-1.3322897611790401</v>
      </c>
      <c r="O13" s="9">
        <v>0.18276499034594099</v>
      </c>
      <c r="P13" s="10" t="s">
        <v>29</v>
      </c>
      <c r="R13" s="2">
        <v>1</v>
      </c>
      <c r="S13" s="2" t="s">
        <v>56</v>
      </c>
      <c r="T13" s="8">
        <v>-0.99003085445027905</v>
      </c>
      <c r="U13" s="9">
        <v>0.63002680043287795</v>
      </c>
      <c r="V13" s="9">
        <v>-1.57141069835449</v>
      </c>
      <c r="W13" s="9">
        <v>0.116087282559464</v>
      </c>
      <c r="X13" s="10" t="s">
        <v>29</v>
      </c>
    </row>
    <row r="14" spans="2:24" x14ac:dyDescent="0.2">
      <c r="B14" s="2">
        <v>2</v>
      </c>
      <c r="C14" s="2" t="s">
        <v>32</v>
      </c>
      <c r="D14" s="8">
        <v>-0.443751816952075</v>
      </c>
      <c r="E14" s="6">
        <v>7.6425891758289496E-2</v>
      </c>
      <c r="F14" s="6">
        <v>-5.8063021149366403</v>
      </c>
      <c r="G14" s="6">
        <v>6.3867675592632597E-9</v>
      </c>
      <c r="H14" s="10" t="s">
        <v>29</v>
      </c>
      <c r="J14" s="2">
        <v>2</v>
      </c>
      <c r="K14" s="2" t="s">
        <v>45</v>
      </c>
      <c r="L14" s="8">
        <v>-0.65294444031477905</v>
      </c>
      <c r="M14" s="9">
        <v>0.16211881138725301</v>
      </c>
      <c r="N14" s="9">
        <v>-4.0275674039768896</v>
      </c>
      <c r="O14" s="9">
        <v>5.6356913672894701E-5</v>
      </c>
      <c r="P14" s="10" t="s">
        <v>29</v>
      </c>
      <c r="R14" s="2">
        <v>2</v>
      </c>
      <c r="S14" s="2" t="s">
        <v>57</v>
      </c>
      <c r="T14" s="8">
        <v>-1.66301376992564</v>
      </c>
      <c r="U14" s="9">
        <v>0.41211764538382301</v>
      </c>
      <c r="V14" s="9">
        <v>-4.0352889242992704</v>
      </c>
      <c r="W14" s="9">
        <v>5.4535147285372699E-5</v>
      </c>
      <c r="X14" s="10" t="s">
        <v>29</v>
      </c>
    </row>
    <row r="15" spans="2:24" x14ac:dyDescent="0.2">
      <c r="B15" s="2">
        <v>3</v>
      </c>
      <c r="C15" s="2" t="s">
        <v>33</v>
      </c>
      <c r="D15" s="8">
        <v>-0.283751070691598</v>
      </c>
      <c r="E15" s="6">
        <v>0.13997690381573499</v>
      </c>
      <c r="F15" s="6">
        <v>-2.0271277829171499</v>
      </c>
      <c r="G15" s="6">
        <v>4.26493462301804E-2</v>
      </c>
      <c r="H15" s="2" t="s">
        <v>29</v>
      </c>
      <c r="J15" s="2">
        <v>3</v>
      </c>
      <c r="K15" s="2" t="s">
        <v>46</v>
      </c>
      <c r="L15" s="8">
        <v>-0.1346222130701</v>
      </c>
      <c r="M15" s="9">
        <v>0.13390200108327599</v>
      </c>
      <c r="N15" s="9">
        <v>-1.0053786499155899</v>
      </c>
      <c r="O15" s="9">
        <v>0.31471455637796902</v>
      </c>
      <c r="P15" s="10" t="s">
        <v>29</v>
      </c>
      <c r="R15" s="2">
        <v>3</v>
      </c>
      <c r="S15" s="2" t="s">
        <v>58</v>
      </c>
      <c r="T15" s="8">
        <v>-7.1406499916608496E-2</v>
      </c>
      <c r="U15" s="9">
        <v>0.819488227579517</v>
      </c>
      <c r="V15" s="9">
        <v>-8.7135479819543504E-2</v>
      </c>
      <c r="W15" s="9">
        <v>0.93056382380816804</v>
      </c>
      <c r="X15" s="10" t="s">
        <v>29</v>
      </c>
    </row>
    <row r="16" spans="2:24" x14ac:dyDescent="0.2">
      <c r="B16" s="2">
        <v>4</v>
      </c>
      <c r="C16" s="2" t="s">
        <v>34</v>
      </c>
      <c r="D16" s="4">
        <v>-1.3942454262711499</v>
      </c>
      <c r="E16" s="6">
        <v>0.167077867200983</v>
      </c>
      <c r="F16" s="6">
        <v>-8.3448840329878902</v>
      </c>
      <c r="G16" s="6">
        <v>0</v>
      </c>
      <c r="H16" s="2" t="s">
        <v>29</v>
      </c>
      <c r="J16" s="2">
        <v>4</v>
      </c>
      <c r="K16" s="2" t="s">
        <v>47</v>
      </c>
      <c r="L16" s="8">
        <v>-0.53406149512814705</v>
      </c>
      <c r="M16" s="9">
        <v>9.88421681802506E-2</v>
      </c>
      <c r="N16" s="9">
        <v>-5.4031746263823504</v>
      </c>
      <c r="O16" s="9">
        <v>6.5471663646121603E-8</v>
      </c>
      <c r="P16" s="10" t="s">
        <v>29</v>
      </c>
      <c r="R16" s="2">
        <v>4</v>
      </c>
      <c r="S16" s="2" t="s">
        <v>59</v>
      </c>
      <c r="T16" s="8">
        <v>-2.4967227244569101</v>
      </c>
      <c r="U16" s="9">
        <v>1.56822071377106</v>
      </c>
      <c r="V16" s="9">
        <v>-1.59207355350708</v>
      </c>
      <c r="W16" s="9">
        <v>0.11136817861268</v>
      </c>
      <c r="X16" s="10" t="s">
        <v>29</v>
      </c>
    </row>
    <row r="17" spans="2:24" x14ac:dyDescent="0.2">
      <c r="B17" s="2">
        <v>5</v>
      </c>
      <c r="C17" s="2" t="s">
        <v>35</v>
      </c>
      <c r="D17" s="4">
        <v>1.2441448689544199</v>
      </c>
      <c r="E17" s="6">
        <v>0.35394391553017301</v>
      </c>
      <c r="F17" s="6">
        <v>3.5150904263767799</v>
      </c>
      <c r="G17" s="6">
        <v>4.3960427401512598E-4</v>
      </c>
      <c r="H17" s="2" t="s">
        <v>29</v>
      </c>
      <c r="J17" s="2">
        <v>5</v>
      </c>
      <c r="K17" s="2" t="s">
        <v>35</v>
      </c>
      <c r="L17" s="8">
        <v>0.98819323380990898</v>
      </c>
      <c r="M17" s="9">
        <v>0.43093302213867601</v>
      </c>
      <c r="N17" s="9">
        <v>2.2931480834436999</v>
      </c>
      <c r="O17" s="9">
        <v>2.1839480913819799E-2</v>
      </c>
      <c r="P17" s="10" t="s">
        <v>29</v>
      </c>
      <c r="R17" s="2">
        <v>5</v>
      </c>
      <c r="S17" s="2" t="s">
        <v>35</v>
      </c>
      <c r="T17" s="8">
        <v>0.39255563974837598</v>
      </c>
      <c r="U17" s="9">
        <v>0.476548649971758</v>
      </c>
      <c r="V17" s="9">
        <v>0.82374724967039503</v>
      </c>
      <c r="W17" s="9">
        <v>0.41008318600571297</v>
      </c>
      <c r="X17" s="10" t="s">
        <v>29</v>
      </c>
    </row>
    <row r="18" spans="2:24" x14ac:dyDescent="0.2">
      <c r="B18" s="2">
        <v>6</v>
      </c>
      <c r="C18" s="2" t="s">
        <v>36</v>
      </c>
      <c r="D18" s="4">
        <v>3.55351725400324</v>
      </c>
      <c r="E18" s="6">
        <v>0.36843120009047697</v>
      </c>
      <c r="F18" s="6">
        <v>9.6449954649079395</v>
      </c>
      <c r="G18" s="6">
        <v>0</v>
      </c>
      <c r="H18" s="2" t="s">
        <v>29</v>
      </c>
      <c r="J18" s="2">
        <v>6</v>
      </c>
      <c r="K18" s="2" t="s">
        <v>36</v>
      </c>
      <c r="L18" s="8">
        <v>4.1339248935589197</v>
      </c>
      <c r="M18" s="9">
        <v>0.37190898741999501</v>
      </c>
      <c r="N18" s="9">
        <v>11.1154207975364</v>
      </c>
      <c r="O18" s="9">
        <v>0</v>
      </c>
      <c r="P18" s="10" t="s">
        <v>29</v>
      </c>
      <c r="R18" s="2">
        <v>6</v>
      </c>
      <c r="S18" s="2" t="s">
        <v>60</v>
      </c>
      <c r="T18" s="7">
        <v>0</v>
      </c>
      <c r="U18" s="9">
        <v>0.22297783699239701</v>
      </c>
      <c r="V18" s="9">
        <v>0</v>
      </c>
      <c r="W18" s="9">
        <v>1</v>
      </c>
      <c r="X18" s="17" t="s">
        <v>31</v>
      </c>
    </row>
    <row r="19" spans="2:24" x14ac:dyDescent="0.2">
      <c r="B19" s="2">
        <v>7</v>
      </c>
      <c r="C19" s="2" t="s">
        <v>37</v>
      </c>
      <c r="D19" s="4">
        <v>0.99403894528084802</v>
      </c>
      <c r="E19" s="6">
        <v>0.37123198249078998</v>
      </c>
      <c r="F19" s="6">
        <v>2.6776759335532399</v>
      </c>
      <c r="G19" s="6">
        <v>7.4134907115395096E-3</v>
      </c>
      <c r="H19" s="2" t="s">
        <v>29</v>
      </c>
      <c r="J19" s="2">
        <v>7</v>
      </c>
      <c r="K19" s="2" t="s">
        <v>48</v>
      </c>
      <c r="L19" s="7">
        <v>0</v>
      </c>
      <c r="M19" s="9">
        <v>0.15233604651233901</v>
      </c>
      <c r="N19" s="9">
        <v>0</v>
      </c>
      <c r="O19" s="9">
        <v>1</v>
      </c>
      <c r="P19" s="17" t="s">
        <v>31</v>
      </c>
      <c r="R19" s="2">
        <v>7</v>
      </c>
      <c r="S19" s="2" t="s">
        <v>61</v>
      </c>
      <c r="T19" s="8">
        <v>-0.273880712509322</v>
      </c>
      <c r="U19" s="9">
        <v>0.17912180988547799</v>
      </c>
      <c r="V19" s="9">
        <v>-1.52901934546344</v>
      </c>
      <c r="W19" s="9">
        <v>0.12625964816365201</v>
      </c>
      <c r="X19" s="10" t="s">
        <v>29</v>
      </c>
    </row>
    <row r="20" spans="2:24" x14ac:dyDescent="0.2">
      <c r="B20" s="2">
        <v>8</v>
      </c>
      <c r="C20" s="2" t="s">
        <v>38</v>
      </c>
      <c r="D20" s="7">
        <v>0</v>
      </c>
      <c r="E20" s="6">
        <v>0.223816771582699</v>
      </c>
      <c r="F20" s="6">
        <v>0</v>
      </c>
      <c r="G20" s="6">
        <v>1</v>
      </c>
      <c r="H20" s="17" t="s">
        <v>31</v>
      </c>
      <c r="J20" s="2">
        <v>8</v>
      </c>
      <c r="K20" s="2" t="s">
        <v>49</v>
      </c>
      <c r="L20" s="8">
        <v>-0.51853664156597801</v>
      </c>
      <c r="M20" s="9">
        <v>9.4349713580324499E-2</v>
      </c>
      <c r="N20" s="9">
        <v>-5.4959005373611696</v>
      </c>
      <c r="O20" s="9">
        <v>3.8872156826741303E-8</v>
      </c>
      <c r="P20" s="10" t="s">
        <v>29</v>
      </c>
      <c r="R20" s="2">
        <v>8</v>
      </c>
      <c r="S20" s="2" t="s">
        <v>62</v>
      </c>
      <c r="T20" s="8">
        <v>-0.13817971049050801</v>
      </c>
      <c r="U20" s="9">
        <v>0.13920235090605901</v>
      </c>
      <c r="V20" s="9">
        <v>-0.99265356936218896</v>
      </c>
      <c r="W20" s="9">
        <v>0.32087880920383099</v>
      </c>
      <c r="X20" s="10" t="s">
        <v>29</v>
      </c>
    </row>
    <row r="21" spans="2:24" x14ac:dyDescent="0.2">
      <c r="B21" s="2">
        <v>9</v>
      </c>
      <c r="C21" s="2" t="s">
        <v>39</v>
      </c>
      <c r="D21" s="4">
        <v>-0.20705840472984299</v>
      </c>
      <c r="E21" s="6">
        <v>0.11565944375303</v>
      </c>
      <c r="F21" s="6">
        <v>-1.7902420936069701</v>
      </c>
      <c r="G21" s="6">
        <v>7.3415000808284503E-2</v>
      </c>
      <c r="H21" s="2" t="s">
        <v>29</v>
      </c>
      <c r="J21" s="2">
        <v>9</v>
      </c>
      <c r="K21" s="2" t="s">
        <v>50</v>
      </c>
      <c r="L21" s="7">
        <v>0</v>
      </c>
      <c r="M21" s="9">
        <v>0.60757900251650299</v>
      </c>
      <c r="N21" s="9">
        <v>0</v>
      </c>
      <c r="O21" s="9">
        <v>1</v>
      </c>
      <c r="P21" s="17" t="s">
        <v>31</v>
      </c>
      <c r="R21" s="2">
        <v>9</v>
      </c>
      <c r="S21" s="2" t="s">
        <v>63</v>
      </c>
      <c r="T21" s="8">
        <v>-0.49510360600609499</v>
      </c>
      <c r="U21" s="9">
        <v>9.4314012307315606E-2</v>
      </c>
      <c r="V21" s="9">
        <v>-5.2495233093555003</v>
      </c>
      <c r="W21" s="9">
        <v>1.52493303984257E-7</v>
      </c>
      <c r="X21" s="10" t="s">
        <v>29</v>
      </c>
    </row>
    <row r="22" spans="2:24" x14ac:dyDescent="0.2">
      <c r="B22" s="2">
        <v>10</v>
      </c>
      <c r="C22" s="2" t="s">
        <v>40</v>
      </c>
      <c r="D22" s="7">
        <v>0</v>
      </c>
      <c r="E22" s="6">
        <v>0.307308433597964</v>
      </c>
      <c r="F22" s="6">
        <v>0</v>
      </c>
      <c r="G22" s="6">
        <v>1</v>
      </c>
      <c r="H22" s="17" t="s">
        <v>31</v>
      </c>
      <c r="J22" s="2">
        <v>10</v>
      </c>
      <c r="K22" s="2" t="s">
        <v>51</v>
      </c>
      <c r="L22" s="8">
        <v>-4.0119815932641396</v>
      </c>
      <c r="M22" s="9">
        <v>0.57144751931220295</v>
      </c>
      <c r="N22" s="9">
        <v>-7.0207349890904798</v>
      </c>
      <c r="O22" s="9">
        <v>2.20712337295481E-12</v>
      </c>
      <c r="P22" s="10" t="s">
        <v>29</v>
      </c>
      <c r="R22" s="2">
        <v>10</v>
      </c>
      <c r="S22" s="2" t="s">
        <v>36</v>
      </c>
      <c r="T22" s="8">
        <v>4.1469150697976103</v>
      </c>
      <c r="U22" s="9">
        <v>0.36661496007549599</v>
      </c>
      <c r="V22" s="9">
        <v>11.3113634777578</v>
      </c>
      <c r="W22" s="9">
        <v>0</v>
      </c>
      <c r="X22" s="10" t="s">
        <v>29</v>
      </c>
    </row>
    <row r="23" spans="2:24" x14ac:dyDescent="0.2">
      <c r="B23" s="11">
        <v>11</v>
      </c>
      <c r="C23" s="11" t="s">
        <v>41</v>
      </c>
      <c r="D23" s="22">
        <v>-0.33475834909554197</v>
      </c>
      <c r="E23" s="13">
        <v>0.116322169944299</v>
      </c>
      <c r="F23" s="13">
        <v>-2.8778550920760799</v>
      </c>
      <c r="G23" s="13">
        <v>4.0038901190759804E-3</v>
      </c>
      <c r="H23" s="11" t="s">
        <v>29</v>
      </c>
      <c r="J23" s="2">
        <v>11</v>
      </c>
      <c r="K23" s="2" t="s">
        <v>37</v>
      </c>
      <c r="L23" s="8">
        <v>0.74637027717062998</v>
      </c>
      <c r="M23" s="9">
        <v>0.40665661702844302</v>
      </c>
      <c r="N23" s="9">
        <v>1.83538210351665</v>
      </c>
      <c r="O23" s="9">
        <v>6.6449093524193897E-2</v>
      </c>
      <c r="P23" s="10" t="s">
        <v>29</v>
      </c>
      <c r="R23" s="2">
        <v>11</v>
      </c>
      <c r="S23" s="2" t="s">
        <v>48</v>
      </c>
      <c r="T23" s="7">
        <v>0</v>
      </c>
      <c r="U23" s="9">
        <v>0.16311440230867699</v>
      </c>
      <c r="V23" s="9">
        <v>0</v>
      </c>
      <c r="W23" s="9">
        <v>1</v>
      </c>
      <c r="X23" s="17" t="s">
        <v>31</v>
      </c>
    </row>
    <row r="24" spans="2:24" x14ac:dyDescent="0.2">
      <c r="B24" s="28" t="s">
        <v>43</v>
      </c>
      <c r="C24" s="28"/>
      <c r="D24" s="28"/>
      <c r="E24" s="28"/>
      <c r="F24" s="28"/>
      <c r="G24" s="28"/>
      <c r="H24" s="28"/>
      <c r="J24" s="2">
        <v>12</v>
      </c>
      <c r="K24" s="2" t="s">
        <v>52</v>
      </c>
      <c r="L24" s="7">
        <v>0</v>
      </c>
      <c r="M24" s="9">
        <v>0.25937022277608002</v>
      </c>
      <c r="N24" s="9">
        <v>0</v>
      </c>
      <c r="O24" s="9">
        <v>1</v>
      </c>
      <c r="P24" s="17" t="s">
        <v>31</v>
      </c>
      <c r="R24" s="2">
        <v>12</v>
      </c>
      <c r="S24" s="2" t="s">
        <v>49</v>
      </c>
      <c r="T24" s="8">
        <v>-0.52062944921246501</v>
      </c>
      <c r="U24" s="9">
        <v>9.5219286767778397E-2</v>
      </c>
      <c r="V24" s="9">
        <v>-5.4676890248315004</v>
      </c>
      <c r="W24" s="9">
        <v>4.55940878385519E-8</v>
      </c>
      <c r="X24" s="10" t="s">
        <v>29</v>
      </c>
    </row>
    <row r="25" spans="2:24" x14ac:dyDescent="0.2">
      <c r="B25" t="s">
        <v>69</v>
      </c>
      <c r="C25">
        <v>12</v>
      </c>
      <c r="J25" s="2">
        <v>13</v>
      </c>
      <c r="K25" s="2" t="s">
        <v>53</v>
      </c>
      <c r="L25" s="8">
        <v>-0.134561164055094</v>
      </c>
      <c r="M25" s="9">
        <v>0.121243597893622</v>
      </c>
      <c r="N25" s="9">
        <v>-1.10984139693013</v>
      </c>
      <c r="O25" s="9">
        <v>0.267067377153346</v>
      </c>
      <c r="P25" s="10" t="s">
        <v>29</v>
      </c>
      <c r="R25" s="2">
        <v>13</v>
      </c>
      <c r="S25" s="2" t="s">
        <v>50</v>
      </c>
      <c r="T25" s="7">
        <v>0</v>
      </c>
      <c r="U25" s="9">
        <v>0.62407675403254903</v>
      </c>
      <c r="V25" s="9">
        <v>0</v>
      </c>
      <c r="W25" s="9">
        <v>1</v>
      </c>
      <c r="X25" s="17" t="s">
        <v>31</v>
      </c>
    </row>
    <row r="26" spans="2:24" x14ac:dyDescent="0.2">
      <c r="B26" t="s">
        <v>70</v>
      </c>
      <c r="C26">
        <v>257</v>
      </c>
      <c r="J26" s="2">
        <v>14</v>
      </c>
      <c r="K26" s="2" t="s">
        <v>54</v>
      </c>
      <c r="L26" s="7">
        <v>0</v>
      </c>
      <c r="M26" s="9">
        <v>0.382528759587346</v>
      </c>
      <c r="N26" s="9">
        <v>0</v>
      </c>
      <c r="O26" s="9">
        <v>1</v>
      </c>
      <c r="P26" s="17" t="s">
        <v>31</v>
      </c>
      <c r="R26" s="2">
        <v>14</v>
      </c>
      <c r="S26" s="2" t="s">
        <v>51</v>
      </c>
      <c r="T26" s="8">
        <v>-4.0631132401993701</v>
      </c>
      <c r="U26" s="9">
        <v>0.57924355878102396</v>
      </c>
      <c r="V26" s="9">
        <v>-7.0145160504674298</v>
      </c>
      <c r="W26" s="9">
        <v>2.3074875343809201E-12</v>
      </c>
      <c r="X26" s="10" t="s">
        <v>29</v>
      </c>
    </row>
    <row r="27" spans="2:24" x14ac:dyDescent="0.2">
      <c r="B27" t="s">
        <v>71</v>
      </c>
      <c r="C27" s="20">
        <v>-591.76440000000002</v>
      </c>
      <c r="J27" s="11">
        <v>15</v>
      </c>
      <c r="K27" s="11" t="s">
        <v>55</v>
      </c>
      <c r="L27" s="23">
        <v>-0.40494457730299799</v>
      </c>
      <c r="M27" s="18">
        <v>0.13220893922340601</v>
      </c>
      <c r="N27" s="18">
        <v>-3.0629137460873501</v>
      </c>
      <c r="O27" s="18">
        <v>2.19193229393321E-3</v>
      </c>
      <c r="P27" s="19" t="s">
        <v>29</v>
      </c>
      <c r="R27" s="2">
        <v>15</v>
      </c>
      <c r="S27" s="2" t="s">
        <v>37</v>
      </c>
      <c r="T27" s="8">
        <v>0.66580481762120303</v>
      </c>
      <c r="U27" s="9">
        <v>0.408478233726911</v>
      </c>
      <c r="V27" s="9">
        <v>1.6299640045602199</v>
      </c>
      <c r="W27" s="9">
        <v>0.10310910482738</v>
      </c>
      <c r="X27" s="10" t="s">
        <v>29</v>
      </c>
    </row>
    <row r="28" spans="2:24" x14ac:dyDescent="0.2">
      <c r="B28" t="s">
        <v>72</v>
      </c>
      <c r="C28" s="20">
        <v>-262.351</v>
      </c>
      <c r="J28" s="28" t="s">
        <v>43</v>
      </c>
      <c r="K28" s="28"/>
      <c r="L28" s="28"/>
      <c r="M28" s="28"/>
      <c r="N28" s="28"/>
      <c r="O28" s="28"/>
      <c r="P28" s="28"/>
      <c r="R28" s="2">
        <v>16</v>
      </c>
      <c r="S28" s="2" t="s">
        <v>52</v>
      </c>
      <c r="T28" s="7">
        <v>0</v>
      </c>
      <c r="U28" s="9">
        <v>0.25002239473406301</v>
      </c>
      <c r="V28" s="9">
        <v>0</v>
      </c>
      <c r="W28" s="9">
        <v>1</v>
      </c>
      <c r="X28" s="17" t="s">
        <v>31</v>
      </c>
    </row>
    <row r="29" spans="2:24" x14ac:dyDescent="0.2">
      <c r="B29" t="s">
        <v>73</v>
      </c>
      <c r="C29" s="20">
        <f>-2*(C27-C28)</f>
        <v>658.82680000000005</v>
      </c>
      <c r="J29" t="s">
        <v>69</v>
      </c>
      <c r="K29">
        <v>16</v>
      </c>
      <c r="L29" s="12"/>
      <c r="M29" s="12"/>
      <c r="N29" s="12"/>
      <c r="O29" s="12"/>
      <c r="R29" s="2">
        <v>17</v>
      </c>
      <c r="S29" s="2" t="s">
        <v>53</v>
      </c>
      <c r="T29" s="8">
        <v>-0.115856374602954</v>
      </c>
      <c r="U29" s="9">
        <v>0.116205725757609</v>
      </c>
      <c r="V29" s="9">
        <v>-0.99699368381051601</v>
      </c>
      <c r="W29" s="9">
        <v>0.318767575788795</v>
      </c>
      <c r="X29" s="10" t="s">
        <v>29</v>
      </c>
    </row>
    <row r="30" spans="2:24" x14ac:dyDescent="0.2">
      <c r="B30" t="s">
        <v>74</v>
      </c>
      <c r="C30" s="20">
        <v>548.70190000000002</v>
      </c>
      <c r="J30" t="s">
        <v>70</v>
      </c>
      <c r="K30">
        <v>257</v>
      </c>
      <c r="L30" s="12"/>
      <c r="M30" s="12"/>
      <c r="N30" s="12"/>
      <c r="O30" s="12"/>
      <c r="R30" s="2">
        <v>18</v>
      </c>
      <c r="S30" s="2" t="s">
        <v>54</v>
      </c>
      <c r="T30" s="7">
        <v>0</v>
      </c>
      <c r="U30" s="9">
        <v>0.37594345109058902</v>
      </c>
      <c r="V30" s="9">
        <v>0</v>
      </c>
      <c r="W30" s="9">
        <v>1</v>
      </c>
      <c r="X30" s="17" t="s">
        <v>31</v>
      </c>
    </row>
    <row r="31" spans="2:24" x14ac:dyDescent="0.2">
      <c r="B31" t="s">
        <v>75</v>
      </c>
      <c r="C31" s="20">
        <v>591.29079999999999</v>
      </c>
      <c r="J31" t="s">
        <v>71</v>
      </c>
      <c r="K31" s="20">
        <v>-591.76440000000002</v>
      </c>
      <c r="L31" s="12"/>
      <c r="M31" s="12"/>
      <c r="N31" s="12"/>
      <c r="O31" s="12"/>
      <c r="R31" s="2">
        <v>19</v>
      </c>
      <c r="S31" s="2" t="s">
        <v>55</v>
      </c>
      <c r="T31" s="8">
        <v>-0.41937849416256001</v>
      </c>
      <c r="U31" s="9">
        <v>0.139087197042018</v>
      </c>
      <c r="V31" s="9">
        <v>-3.0152199705042899</v>
      </c>
      <c r="W31" s="9">
        <v>2.5679294265301602E-3</v>
      </c>
      <c r="X31" s="10" t="s">
        <v>29</v>
      </c>
    </row>
    <row r="32" spans="2:24" x14ac:dyDescent="0.2">
      <c r="J32" t="s">
        <v>72</v>
      </c>
      <c r="K32" s="20">
        <v>-201.48949999999999</v>
      </c>
      <c r="L32" s="12"/>
      <c r="M32" s="12"/>
      <c r="N32" s="12"/>
      <c r="O32" s="12"/>
      <c r="R32" s="28" t="s">
        <v>43</v>
      </c>
      <c r="S32" s="28"/>
      <c r="T32" s="28"/>
      <c r="U32" s="28"/>
      <c r="V32" s="28"/>
      <c r="W32" s="28"/>
      <c r="X32" s="28"/>
    </row>
    <row r="33" spans="2:19" x14ac:dyDescent="0.2">
      <c r="B33" s="29" t="s">
        <v>78</v>
      </c>
      <c r="C33" s="29"/>
      <c r="D33" s="29"/>
      <c r="E33" s="29"/>
      <c r="F33" s="29"/>
      <c r="G33" s="29"/>
      <c r="H33" s="29"/>
      <c r="J33" t="s">
        <v>73</v>
      </c>
      <c r="K33" s="20">
        <f>-2*(K31-K32)</f>
        <v>780.5498</v>
      </c>
      <c r="L33" s="12"/>
      <c r="M33" s="12"/>
      <c r="N33" s="12"/>
      <c r="O33" s="12"/>
      <c r="R33" t="s">
        <v>69</v>
      </c>
      <c r="S33">
        <v>20</v>
      </c>
    </row>
    <row r="34" spans="2:19" x14ac:dyDescent="0.2">
      <c r="B34" s="1" t="s">
        <v>68</v>
      </c>
      <c r="C34" s="1"/>
      <c r="D34" s="1"/>
      <c r="E34" s="1"/>
      <c r="F34" s="1"/>
      <c r="G34" s="1"/>
      <c r="H34" s="1"/>
      <c r="J34" t="s">
        <v>74</v>
      </c>
      <c r="K34" s="20">
        <v>434.97890000000001</v>
      </c>
      <c r="R34" t="s">
        <v>70</v>
      </c>
      <c r="S34">
        <v>257</v>
      </c>
    </row>
    <row r="35" spans="2:19" x14ac:dyDescent="0.2">
      <c r="J35" t="s">
        <v>75</v>
      </c>
      <c r="K35" s="20">
        <v>491.76409999999998</v>
      </c>
      <c r="R35" t="s">
        <v>71</v>
      </c>
      <c r="S35" s="20">
        <v>-591.76440000000002</v>
      </c>
    </row>
    <row r="36" spans="2:19" x14ac:dyDescent="0.2">
      <c r="B36" t="s">
        <v>64</v>
      </c>
      <c r="C36">
        <f>K29-C25</f>
        <v>4</v>
      </c>
      <c r="R36" t="s">
        <v>72</v>
      </c>
      <c r="S36" s="20">
        <v>-193.53530000000001</v>
      </c>
    </row>
    <row r="37" spans="2:19" x14ac:dyDescent="0.2">
      <c r="B37" t="s">
        <v>65</v>
      </c>
      <c r="C37" s="20">
        <f>-2*(C28-K32)</f>
        <v>121.72300000000001</v>
      </c>
      <c r="J37" s="29" t="s">
        <v>79</v>
      </c>
      <c r="K37" s="29"/>
      <c r="L37" s="29"/>
      <c r="M37" s="29"/>
      <c r="N37" s="29"/>
      <c r="O37" s="29"/>
      <c r="P37" s="29"/>
      <c r="R37" t="s">
        <v>73</v>
      </c>
      <c r="S37" s="20">
        <f>-2*(S35-S36)</f>
        <v>796.45820000000003</v>
      </c>
    </row>
    <row r="38" spans="2:19" ht="20" x14ac:dyDescent="0.25">
      <c r="B38" t="s">
        <v>66</v>
      </c>
      <c r="C38">
        <v>9.4879999999999995</v>
      </c>
      <c r="D38" s="16" t="s">
        <v>7</v>
      </c>
      <c r="E38" s="27" t="str">
        <f>IF(C37&lt;C38,"H0 cannot be rejected","H0 rejected")</f>
        <v>H0 rejected</v>
      </c>
      <c r="F38" s="27"/>
      <c r="G38" s="27"/>
      <c r="H38" s="27"/>
      <c r="J38" s="30" t="s">
        <v>67</v>
      </c>
      <c r="K38" s="30"/>
      <c r="L38" s="30"/>
      <c r="M38" s="30"/>
      <c r="N38" s="30"/>
      <c r="O38" s="30"/>
      <c r="P38" s="30"/>
      <c r="R38" t="s">
        <v>74</v>
      </c>
      <c r="S38" s="20">
        <v>427.07060000000001</v>
      </c>
    </row>
    <row r="39" spans="2:19" x14ac:dyDescent="0.2">
      <c r="R39" t="s">
        <v>75</v>
      </c>
      <c r="S39" s="20">
        <v>498.05220000000003</v>
      </c>
    </row>
    <row r="40" spans="2:19" x14ac:dyDescent="0.2">
      <c r="J40" t="s">
        <v>64</v>
      </c>
      <c r="K40">
        <f>COUNTA(S12:S31)-COUNTA(K12:K27)</f>
        <v>4</v>
      </c>
    </row>
    <row r="41" spans="2:19" x14ac:dyDescent="0.2">
      <c r="J41" t="s">
        <v>65</v>
      </c>
      <c r="K41" s="20">
        <f>-2*(K32-S36)</f>
        <v>15.908399999999972</v>
      </c>
    </row>
    <row r="42" spans="2:19" ht="20" x14ac:dyDescent="0.25">
      <c r="J42" t="s">
        <v>66</v>
      </c>
      <c r="K42">
        <v>9.4879999999999995</v>
      </c>
      <c r="L42" s="16" t="s">
        <v>7</v>
      </c>
      <c r="M42" s="27" t="str">
        <f>IF(K41&lt;K42,"H0 cannot be rejected","H0 rejected")</f>
        <v>H0 rejected</v>
      </c>
      <c r="N42" s="27"/>
      <c r="O42" s="27"/>
      <c r="P42" s="27"/>
    </row>
  </sheetData>
  <mergeCells count="11">
    <mergeCell ref="M42:P42"/>
    <mergeCell ref="R32:X32"/>
    <mergeCell ref="B24:H24"/>
    <mergeCell ref="J28:P28"/>
    <mergeCell ref="B33:H33"/>
    <mergeCell ref="J37:P37"/>
    <mergeCell ref="E38:H38"/>
    <mergeCell ref="J38:P38"/>
    <mergeCell ref="R10:X10"/>
    <mergeCell ref="B10:H10"/>
    <mergeCell ref="J10:P10"/>
  </mergeCells>
  <conditionalFormatting sqref="E38:H38">
    <cfRule type="cellIs" dxfId="69" priority="3" operator="equal">
      <formula>"H0 cannot be rejected"</formula>
    </cfRule>
    <cfRule type="cellIs" dxfId="68" priority="4" operator="equal">
      <formula>"H0 rejected"</formula>
    </cfRule>
  </conditionalFormatting>
  <conditionalFormatting sqref="M42:P42">
    <cfRule type="cellIs" dxfId="65" priority="1" operator="equal">
      <formula>"H0 cannot be rejected"</formula>
    </cfRule>
    <cfRule type="cellIs" dxfId="64" priority="2" operator="equal">
      <formula>"H0 rejected"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D8CC6-F1DA-234D-87C9-5E6EF495E11A}">
  <sheetPr>
    <tabColor rgb="FF92D050"/>
  </sheetPr>
  <dimension ref="B2:X42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21" t="s">
        <v>10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2:24" x14ac:dyDescent="0.2">
      <c r="B4" s="19" t="s">
        <v>76</v>
      </c>
      <c r="C4" s="19" t="s">
        <v>77</v>
      </c>
      <c r="D4" s="2"/>
      <c r="E4" s="2"/>
      <c r="F4" s="2"/>
    </row>
    <row r="5" spans="2:24" x14ac:dyDescent="0.2">
      <c r="B5" s="10" t="s">
        <v>0</v>
      </c>
      <c r="C5" s="5" t="s">
        <v>5</v>
      </c>
      <c r="D5" s="2"/>
      <c r="E5" s="2"/>
      <c r="F5" s="2"/>
    </row>
    <row r="6" spans="2:24" x14ac:dyDescent="0.2">
      <c r="B6" s="10" t="s">
        <v>1</v>
      </c>
      <c r="C6" s="5" t="s">
        <v>5</v>
      </c>
      <c r="D6" s="2"/>
      <c r="E6" s="2"/>
      <c r="F6" s="2"/>
    </row>
    <row r="7" spans="2:24" x14ac:dyDescent="0.2">
      <c r="B7" s="10" t="s">
        <v>2</v>
      </c>
      <c r="C7" s="5" t="s">
        <v>5</v>
      </c>
      <c r="D7" s="2"/>
      <c r="E7" s="2"/>
      <c r="F7" s="2"/>
    </row>
    <row r="8" spans="2:24" x14ac:dyDescent="0.2">
      <c r="B8" s="10" t="s">
        <v>3</v>
      </c>
      <c r="C8" s="5" t="s">
        <v>6</v>
      </c>
      <c r="D8" s="2"/>
      <c r="E8" s="2"/>
      <c r="F8" s="2"/>
    </row>
    <row r="10" spans="2:24" x14ac:dyDescent="0.2">
      <c r="B10" s="26" t="s">
        <v>94</v>
      </c>
      <c r="C10" s="26"/>
      <c r="D10" s="26"/>
      <c r="E10" s="26"/>
      <c r="F10" s="26"/>
      <c r="G10" s="26"/>
      <c r="H10" s="26"/>
      <c r="J10" s="26" t="s">
        <v>93</v>
      </c>
      <c r="K10" s="26"/>
      <c r="L10" s="26"/>
      <c r="M10" s="26"/>
      <c r="N10" s="26"/>
      <c r="O10" s="26"/>
      <c r="P10" s="26"/>
      <c r="R10" s="26" t="s">
        <v>95</v>
      </c>
      <c r="S10" s="26"/>
      <c r="T10" s="26"/>
      <c r="U10" s="26"/>
      <c r="V10" s="26"/>
      <c r="W10" s="26"/>
      <c r="X10" s="26"/>
    </row>
    <row r="11" spans="2:24" x14ac:dyDescent="0.2">
      <c r="B11" s="11" t="s">
        <v>42</v>
      </c>
      <c r="C11" s="11" t="s">
        <v>22</v>
      </c>
      <c r="D11" s="13" t="s">
        <v>23</v>
      </c>
      <c r="E11" s="13" t="s">
        <v>24</v>
      </c>
      <c r="F11" s="13" t="s">
        <v>25</v>
      </c>
      <c r="G11" s="13" t="s">
        <v>26</v>
      </c>
      <c r="H11" s="11" t="s">
        <v>27</v>
      </c>
      <c r="J11" s="11" t="s">
        <v>42</v>
      </c>
      <c r="K11" s="11" t="s">
        <v>22</v>
      </c>
      <c r="L11" s="11" t="s">
        <v>23</v>
      </c>
      <c r="M11" s="11" t="s">
        <v>24</v>
      </c>
      <c r="N11" s="11" t="s">
        <v>25</v>
      </c>
      <c r="O11" s="11" t="s">
        <v>26</v>
      </c>
      <c r="P11" s="11" t="s">
        <v>27</v>
      </c>
      <c r="R11" s="11" t="s">
        <v>42</v>
      </c>
      <c r="S11" s="11" t="s">
        <v>22</v>
      </c>
      <c r="T11" s="11" t="s">
        <v>23</v>
      </c>
      <c r="U11" s="11" t="s">
        <v>24</v>
      </c>
      <c r="V11" s="11" t="s">
        <v>25</v>
      </c>
      <c r="W11" s="11" t="s">
        <v>26</v>
      </c>
      <c r="X11" s="11" t="s">
        <v>27</v>
      </c>
    </row>
    <row r="12" spans="2:24" x14ac:dyDescent="0.2">
      <c r="B12" s="10">
        <v>0</v>
      </c>
      <c r="C12" s="10" t="s">
        <v>28</v>
      </c>
      <c r="D12" s="8">
        <v>0.873574556341704</v>
      </c>
      <c r="E12" s="9">
        <v>0.291611743523362</v>
      </c>
      <c r="F12" s="9">
        <v>2.9956768742810098</v>
      </c>
      <c r="G12" s="9">
        <v>2.7383643821423599E-3</v>
      </c>
      <c r="H12" s="10" t="s">
        <v>29</v>
      </c>
      <c r="J12" s="10">
        <v>0</v>
      </c>
      <c r="K12" s="10" t="s">
        <v>28</v>
      </c>
      <c r="L12" s="8">
        <v>0.71632033144359397</v>
      </c>
      <c r="M12" s="9">
        <v>0.34585687762545803</v>
      </c>
      <c r="N12" s="9">
        <v>2.0711467019583898</v>
      </c>
      <c r="O12" s="9">
        <v>3.8345088608929601E-2</v>
      </c>
      <c r="P12" s="10" t="s">
        <v>29</v>
      </c>
      <c r="R12" s="10">
        <v>0</v>
      </c>
      <c r="S12" s="10" t="s">
        <v>28</v>
      </c>
      <c r="T12" s="8">
        <v>1.00661760118647</v>
      </c>
      <c r="U12" s="9">
        <v>0.39470164761727999</v>
      </c>
      <c r="V12" s="9">
        <v>2.5503253084023898</v>
      </c>
      <c r="W12" s="9">
        <v>1.07622444713755E-2</v>
      </c>
      <c r="X12" s="10" t="s">
        <v>29</v>
      </c>
    </row>
    <row r="13" spans="2:24" x14ac:dyDescent="0.2">
      <c r="B13" s="10">
        <v>1</v>
      </c>
      <c r="C13" s="10" t="s">
        <v>30</v>
      </c>
      <c r="D13" s="7">
        <v>0</v>
      </c>
      <c r="E13" s="9">
        <v>0.13546223432007301</v>
      </c>
      <c r="F13" s="9">
        <v>0</v>
      </c>
      <c r="G13" s="9">
        <v>1</v>
      </c>
      <c r="H13" s="17" t="s">
        <v>31</v>
      </c>
      <c r="J13" s="10">
        <v>1</v>
      </c>
      <c r="K13" s="10" t="s">
        <v>44</v>
      </c>
      <c r="L13" s="7">
        <v>0</v>
      </c>
      <c r="M13" s="9">
        <v>0.184007695119175</v>
      </c>
      <c r="N13" s="9">
        <v>0</v>
      </c>
      <c r="O13" s="9">
        <v>1</v>
      </c>
      <c r="P13" s="17" t="s">
        <v>31</v>
      </c>
      <c r="R13" s="10">
        <v>1</v>
      </c>
      <c r="S13" s="10" t="s">
        <v>56</v>
      </c>
      <c r="T13" s="7">
        <v>0</v>
      </c>
      <c r="U13" s="9">
        <v>0.24719149158562601</v>
      </c>
      <c r="V13" s="9">
        <v>0</v>
      </c>
      <c r="W13" s="9">
        <v>1</v>
      </c>
      <c r="X13" s="17" t="s">
        <v>31</v>
      </c>
    </row>
    <row r="14" spans="2:24" x14ac:dyDescent="0.2">
      <c r="B14" s="10">
        <v>2</v>
      </c>
      <c r="C14" s="10" t="s">
        <v>32</v>
      </c>
      <c r="D14" s="8">
        <v>-0.122903201349186</v>
      </c>
      <c r="E14" s="9">
        <v>9.2077949410708099E-2</v>
      </c>
      <c r="F14" s="9">
        <v>-1.3347734407179701</v>
      </c>
      <c r="G14" s="9">
        <v>0.18195050860793999</v>
      </c>
      <c r="H14" s="10" t="s">
        <v>29</v>
      </c>
      <c r="J14" s="10">
        <v>2</v>
      </c>
      <c r="K14" s="10" t="s">
        <v>45</v>
      </c>
      <c r="L14" s="8">
        <v>-6.5775611045816501E-2</v>
      </c>
      <c r="M14" s="9">
        <v>0.132749942424436</v>
      </c>
      <c r="N14" s="9">
        <v>-0.49548504386928199</v>
      </c>
      <c r="O14" s="9">
        <v>0.62025777674119498</v>
      </c>
      <c r="P14" s="10" t="s">
        <v>29</v>
      </c>
      <c r="R14" s="10">
        <v>2</v>
      </c>
      <c r="S14" s="10" t="s">
        <v>57</v>
      </c>
      <c r="T14" s="8">
        <v>-0.31833867644585101</v>
      </c>
      <c r="U14" s="9">
        <v>0.17005003088176801</v>
      </c>
      <c r="V14" s="9">
        <v>-1.8720295126978499</v>
      </c>
      <c r="W14" s="9">
        <v>6.1202520603085203E-2</v>
      </c>
      <c r="X14" s="10" t="s">
        <v>29</v>
      </c>
    </row>
    <row r="15" spans="2:24" x14ac:dyDescent="0.2">
      <c r="B15" s="10">
        <v>3</v>
      </c>
      <c r="C15" s="10" t="s">
        <v>33</v>
      </c>
      <c r="D15" s="8">
        <v>-0.14778586761534099</v>
      </c>
      <c r="E15" s="9">
        <v>0.107532451605949</v>
      </c>
      <c r="F15" s="9">
        <v>-1.3743373782353601</v>
      </c>
      <c r="G15" s="9">
        <v>0.1693369673015</v>
      </c>
      <c r="H15" s="10" t="s">
        <v>29</v>
      </c>
      <c r="J15" s="10">
        <v>3</v>
      </c>
      <c r="K15" s="10" t="s">
        <v>46</v>
      </c>
      <c r="L15" s="8">
        <v>-0.172486781984792</v>
      </c>
      <c r="M15" s="9">
        <v>0.12063080689144499</v>
      </c>
      <c r="N15" s="9">
        <v>-1.42987339991857</v>
      </c>
      <c r="O15" s="9">
        <v>0.15275335773818999</v>
      </c>
      <c r="P15" s="10" t="s">
        <v>29</v>
      </c>
      <c r="R15" s="10">
        <v>3</v>
      </c>
      <c r="S15" s="10" t="s">
        <v>58</v>
      </c>
      <c r="T15" s="7">
        <v>0</v>
      </c>
      <c r="U15" s="9">
        <v>0.32229696634531602</v>
      </c>
      <c r="V15" s="9">
        <v>0</v>
      </c>
      <c r="W15" s="9">
        <v>1</v>
      </c>
      <c r="X15" s="17" t="s">
        <v>31</v>
      </c>
    </row>
    <row r="16" spans="2:24" x14ac:dyDescent="0.2">
      <c r="B16" s="10">
        <v>4</v>
      </c>
      <c r="C16" s="10" t="s">
        <v>34</v>
      </c>
      <c r="D16" s="8">
        <v>-0.60061869492616105</v>
      </c>
      <c r="E16" s="9">
        <v>0.163683081498355</v>
      </c>
      <c r="F16" s="9">
        <v>-3.6693999735836802</v>
      </c>
      <c r="G16" s="9">
        <v>2.43120441460797E-4</v>
      </c>
      <c r="H16" s="10" t="s">
        <v>29</v>
      </c>
      <c r="J16" s="10">
        <v>4</v>
      </c>
      <c r="K16" s="10" t="s">
        <v>47</v>
      </c>
      <c r="L16" s="8">
        <v>-0.43503945462670801</v>
      </c>
      <c r="M16" s="9">
        <v>0.14167767962583</v>
      </c>
      <c r="N16" s="9">
        <v>-3.0706280324158599</v>
      </c>
      <c r="O16" s="9">
        <v>2.1360908173666498E-3</v>
      </c>
      <c r="P16" s="10" t="s">
        <v>29</v>
      </c>
      <c r="R16" s="10">
        <v>4</v>
      </c>
      <c r="S16" s="10" t="s">
        <v>59</v>
      </c>
      <c r="T16" s="8">
        <v>-0.66381437271347998</v>
      </c>
      <c r="U16" s="9">
        <v>0.20662510463438</v>
      </c>
      <c r="V16" s="9">
        <v>-3.2126511146265999</v>
      </c>
      <c r="W16" s="9">
        <v>1.31515941863935E-3</v>
      </c>
      <c r="X16" s="10" t="s">
        <v>29</v>
      </c>
    </row>
    <row r="17" spans="2:24" x14ac:dyDescent="0.2">
      <c r="B17" s="10">
        <v>5</v>
      </c>
      <c r="C17" s="10" t="s">
        <v>35</v>
      </c>
      <c r="D17" s="8">
        <v>0.827233364902213</v>
      </c>
      <c r="E17" s="9">
        <v>0.29256438962549303</v>
      </c>
      <c r="F17" s="9">
        <v>2.8275258173461899</v>
      </c>
      <c r="G17" s="9">
        <v>4.6909232774441298E-3</v>
      </c>
      <c r="H17" s="10" t="s">
        <v>29</v>
      </c>
      <c r="J17" s="10">
        <v>5</v>
      </c>
      <c r="K17" s="10" t="s">
        <v>35</v>
      </c>
      <c r="L17" s="8">
        <v>0.74960512850204297</v>
      </c>
      <c r="M17" s="9">
        <v>0.34494022601329999</v>
      </c>
      <c r="N17" s="9">
        <v>2.17314500302188</v>
      </c>
      <c r="O17" s="9">
        <v>2.97694055238584E-2</v>
      </c>
      <c r="P17" s="10" t="s">
        <v>29</v>
      </c>
      <c r="R17" s="10">
        <v>5</v>
      </c>
      <c r="S17" s="10" t="s">
        <v>35</v>
      </c>
      <c r="T17" s="8">
        <v>0.51610166211264397</v>
      </c>
      <c r="U17" s="9">
        <v>0.44513770937286601</v>
      </c>
      <c r="V17" s="9">
        <v>1.15942022265369</v>
      </c>
      <c r="W17" s="9">
        <v>0.24628493764328999</v>
      </c>
      <c r="X17" s="10" t="s">
        <v>29</v>
      </c>
    </row>
    <row r="18" spans="2:24" x14ac:dyDescent="0.2">
      <c r="B18" s="10">
        <v>6</v>
      </c>
      <c r="C18" s="10" t="s">
        <v>36</v>
      </c>
      <c r="D18" s="8">
        <v>0.20746739354621899</v>
      </c>
      <c r="E18" s="9">
        <v>0.28987208607196502</v>
      </c>
      <c r="F18" s="9">
        <v>0.71572049712545405</v>
      </c>
      <c r="G18" s="9">
        <v>0.47416395176146597</v>
      </c>
      <c r="H18" s="10" t="s">
        <v>29</v>
      </c>
      <c r="J18" s="10">
        <v>6</v>
      </c>
      <c r="K18" s="10" t="s">
        <v>36</v>
      </c>
      <c r="L18" s="8">
        <v>2.1260208794327502</v>
      </c>
      <c r="M18" s="9">
        <v>0.56705986467281599</v>
      </c>
      <c r="N18" s="9">
        <v>3.74920006137171</v>
      </c>
      <c r="O18" s="9">
        <v>1.7739952710082901E-4</v>
      </c>
      <c r="P18" s="10" t="s">
        <v>29</v>
      </c>
      <c r="R18" s="10">
        <v>6</v>
      </c>
      <c r="S18" s="10" t="s">
        <v>60</v>
      </c>
      <c r="T18" s="7">
        <v>0</v>
      </c>
      <c r="U18" s="9">
        <v>0.26088319495843898</v>
      </c>
      <c r="V18" s="9">
        <v>0</v>
      </c>
      <c r="W18" s="9">
        <v>1</v>
      </c>
      <c r="X18" s="17" t="s">
        <v>31</v>
      </c>
    </row>
    <row r="19" spans="2:24" x14ac:dyDescent="0.2">
      <c r="B19" s="10">
        <v>7</v>
      </c>
      <c r="C19" s="10" t="s">
        <v>37</v>
      </c>
      <c r="D19" s="8">
        <v>2.0222774735125202</v>
      </c>
      <c r="E19" s="9">
        <v>0.42798835531608298</v>
      </c>
      <c r="F19" s="9">
        <v>4.7250759241311702</v>
      </c>
      <c r="G19" s="9">
        <v>2.3002939675276198E-6</v>
      </c>
      <c r="H19" s="10" t="s">
        <v>29</v>
      </c>
      <c r="J19" s="10">
        <v>7</v>
      </c>
      <c r="K19" s="10" t="s">
        <v>48</v>
      </c>
      <c r="L19" s="8">
        <v>-0.366007790215503</v>
      </c>
      <c r="M19" s="9">
        <v>0.32916933473103499</v>
      </c>
      <c r="N19" s="9">
        <v>-1.1119133880273699</v>
      </c>
      <c r="O19" s="9">
        <v>0.26617539180632999</v>
      </c>
      <c r="P19" s="10" t="s">
        <v>29</v>
      </c>
      <c r="R19" s="10">
        <v>7</v>
      </c>
      <c r="S19" s="10" t="s">
        <v>61</v>
      </c>
      <c r="T19" s="7">
        <v>0</v>
      </c>
      <c r="U19" s="9">
        <v>0.217590422282916</v>
      </c>
      <c r="V19" s="9">
        <v>0</v>
      </c>
      <c r="W19" s="9">
        <v>1</v>
      </c>
      <c r="X19" s="17" t="s">
        <v>31</v>
      </c>
    </row>
    <row r="20" spans="2:24" x14ac:dyDescent="0.2">
      <c r="B20" s="10">
        <v>8</v>
      </c>
      <c r="C20" s="10" t="s">
        <v>38</v>
      </c>
      <c r="D20" s="7">
        <v>0</v>
      </c>
      <c r="E20" s="9">
        <v>0.32792012795447301</v>
      </c>
      <c r="F20" s="9">
        <v>0</v>
      </c>
      <c r="G20" s="9">
        <v>1</v>
      </c>
      <c r="H20" s="17" t="s">
        <v>31</v>
      </c>
      <c r="J20" s="10">
        <v>8</v>
      </c>
      <c r="K20" s="10" t="s">
        <v>49</v>
      </c>
      <c r="L20" s="8">
        <v>-0.56942069998260003</v>
      </c>
      <c r="M20" s="9">
        <v>0.226168114707163</v>
      </c>
      <c r="N20" s="9">
        <v>-2.5176877860076399</v>
      </c>
      <c r="O20" s="9">
        <v>1.18127980716229E-2</v>
      </c>
      <c r="P20" s="10" t="s">
        <v>29</v>
      </c>
      <c r="R20" s="10">
        <v>8</v>
      </c>
      <c r="S20" s="10" t="s">
        <v>62</v>
      </c>
      <c r="T20" s="8">
        <v>-0.24831444625992199</v>
      </c>
      <c r="U20" s="9">
        <v>0.16221421833535299</v>
      </c>
      <c r="V20" s="9">
        <v>-1.53078101789184</v>
      </c>
      <c r="W20" s="9">
        <v>0.125823522501395</v>
      </c>
      <c r="X20" s="10" t="s">
        <v>29</v>
      </c>
    </row>
    <row r="21" spans="2:24" x14ac:dyDescent="0.2">
      <c r="B21" s="10">
        <v>9</v>
      </c>
      <c r="C21" s="10" t="s">
        <v>39</v>
      </c>
      <c r="D21" s="8">
        <v>-0.45659033612502198</v>
      </c>
      <c r="E21" s="9">
        <v>0.15944344781148201</v>
      </c>
      <c r="F21" s="9">
        <v>-2.8636506698279098</v>
      </c>
      <c r="G21" s="9">
        <v>4.1878958845982198E-3</v>
      </c>
      <c r="H21" s="10" t="s">
        <v>29</v>
      </c>
      <c r="J21" s="10">
        <v>9</v>
      </c>
      <c r="K21" s="10" t="s">
        <v>50</v>
      </c>
      <c r="L21" s="7">
        <v>0</v>
      </c>
      <c r="M21" s="9">
        <v>1.6990119346047701</v>
      </c>
      <c r="N21" s="9">
        <v>0</v>
      </c>
      <c r="O21" s="9">
        <v>1</v>
      </c>
      <c r="P21" s="17" t="s">
        <v>31</v>
      </c>
      <c r="R21" s="10">
        <v>9</v>
      </c>
      <c r="S21" s="10" t="s">
        <v>63</v>
      </c>
      <c r="T21" s="8">
        <v>-0.21935495948198899</v>
      </c>
      <c r="U21" s="9">
        <v>0.16784231355919799</v>
      </c>
      <c r="V21" s="9">
        <v>-1.30691096202401</v>
      </c>
      <c r="W21" s="9">
        <v>0.19124295268667801</v>
      </c>
      <c r="X21" s="10" t="s">
        <v>29</v>
      </c>
    </row>
    <row r="22" spans="2:24" x14ac:dyDescent="0.2">
      <c r="B22" s="10">
        <v>10</v>
      </c>
      <c r="C22" s="10" t="s">
        <v>40</v>
      </c>
      <c r="D22" s="8">
        <v>-2.98089577723688</v>
      </c>
      <c r="E22" s="9">
        <v>1.3442847422955699</v>
      </c>
      <c r="F22" s="9">
        <v>-2.2174586108494698</v>
      </c>
      <c r="G22" s="9">
        <v>2.6591768369365901E-2</v>
      </c>
      <c r="H22" s="10" t="s">
        <v>29</v>
      </c>
      <c r="J22" s="10">
        <v>10</v>
      </c>
      <c r="K22" s="10" t="s">
        <v>51</v>
      </c>
      <c r="L22" s="8">
        <v>-4.0129149630282699</v>
      </c>
      <c r="M22" s="9">
        <v>1.0735643430031301</v>
      </c>
      <c r="N22" s="9">
        <v>-3.7379361462423</v>
      </c>
      <c r="O22" s="9">
        <v>1.85537050766182E-4</v>
      </c>
      <c r="P22" s="10" t="s">
        <v>29</v>
      </c>
      <c r="R22" s="10">
        <v>10</v>
      </c>
      <c r="S22" s="10" t="s">
        <v>36</v>
      </c>
      <c r="T22" s="8">
        <v>1.9047929088547599</v>
      </c>
      <c r="U22" s="9">
        <v>0.551610857065988</v>
      </c>
      <c r="V22" s="9">
        <v>3.4531461526815002</v>
      </c>
      <c r="W22" s="9">
        <v>5.54088709746158E-4</v>
      </c>
      <c r="X22" s="10" t="s">
        <v>29</v>
      </c>
    </row>
    <row r="23" spans="2:24" x14ac:dyDescent="0.2">
      <c r="B23" s="19">
        <v>11</v>
      </c>
      <c r="C23" s="19" t="s">
        <v>41</v>
      </c>
      <c r="D23" s="23">
        <v>-4.6146670951052897</v>
      </c>
      <c r="E23" s="18">
        <v>0.86794549797056397</v>
      </c>
      <c r="F23" s="18">
        <v>-5.31677058743358</v>
      </c>
      <c r="G23" s="18">
        <v>1.05625102664319E-7</v>
      </c>
      <c r="H23" s="19" t="s">
        <v>29</v>
      </c>
      <c r="J23" s="10">
        <v>11</v>
      </c>
      <c r="K23" s="10" t="s">
        <v>37</v>
      </c>
      <c r="L23" s="8">
        <v>2.2931685297276498</v>
      </c>
      <c r="M23" s="9">
        <v>0.49126394181404898</v>
      </c>
      <c r="N23" s="9">
        <v>4.66789506524713</v>
      </c>
      <c r="O23" s="9">
        <v>3.0430123869606901E-6</v>
      </c>
      <c r="P23" s="10" t="s">
        <v>29</v>
      </c>
      <c r="R23" s="10">
        <v>11</v>
      </c>
      <c r="S23" s="10" t="s">
        <v>48</v>
      </c>
      <c r="T23" s="8">
        <v>-0.22442252060457199</v>
      </c>
      <c r="U23" s="9">
        <v>0.33907575333594497</v>
      </c>
      <c r="V23" s="9">
        <v>-0.66186543389383001</v>
      </c>
      <c r="W23" s="9">
        <v>0.50805746623112902</v>
      </c>
      <c r="X23" s="10" t="s">
        <v>29</v>
      </c>
    </row>
    <row r="24" spans="2:24" x14ac:dyDescent="0.2">
      <c r="B24" s="28" t="s">
        <v>43</v>
      </c>
      <c r="C24" s="28"/>
      <c r="D24" s="28"/>
      <c r="E24" s="28"/>
      <c r="F24" s="28"/>
      <c r="G24" s="28"/>
      <c r="H24" s="28"/>
      <c r="J24" s="10">
        <v>12</v>
      </c>
      <c r="K24" s="10" t="s">
        <v>52</v>
      </c>
      <c r="L24" s="7">
        <v>0</v>
      </c>
      <c r="M24" s="9">
        <v>0.402046977293741</v>
      </c>
      <c r="N24" s="9">
        <v>0</v>
      </c>
      <c r="O24" s="9">
        <v>1</v>
      </c>
      <c r="P24" s="17" t="s">
        <v>31</v>
      </c>
      <c r="R24" s="10">
        <v>12</v>
      </c>
      <c r="S24" s="10" t="s">
        <v>49</v>
      </c>
      <c r="T24" s="8">
        <v>-0.54673220555949098</v>
      </c>
      <c r="U24" s="9">
        <v>0.22786822234118001</v>
      </c>
      <c r="V24" s="9">
        <v>-2.3993350189079199</v>
      </c>
      <c r="W24" s="9">
        <v>1.64248795049266E-2</v>
      </c>
      <c r="X24" s="10" t="s">
        <v>29</v>
      </c>
    </row>
    <row r="25" spans="2:24" x14ac:dyDescent="0.2">
      <c r="B25" t="s">
        <v>69</v>
      </c>
      <c r="C25">
        <v>12</v>
      </c>
      <c r="J25" s="10">
        <v>13</v>
      </c>
      <c r="K25" s="10" t="s">
        <v>53</v>
      </c>
      <c r="L25" s="8">
        <v>-0.48927641303202601</v>
      </c>
      <c r="M25" s="9">
        <v>0.165610954058141</v>
      </c>
      <c r="N25" s="9">
        <v>-2.9543722866318101</v>
      </c>
      <c r="O25" s="9">
        <v>3.1330580117565599E-3</v>
      </c>
      <c r="P25" s="10" t="s">
        <v>29</v>
      </c>
      <c r="R25" s="10">
        <v>13</v>
      </c>
      <c r="S25" s="10" t="s">
        <v>50</v>
      </c>
      <c r="T25" s="7">
        <v>0</v>
      </c>
      <c r="U25" s="9">
        <v>1.74788599005739</v>
      </c>
      <c r="V25" s="9">
        <v>0</v>
      </c>
      <c r="W25" s="9">
        <v>1</v>
      </c>
      <c r="X25" s="17" t="s">
        <v>31</v>
      </c>
    </row>
    <row r="26" spans="2:24" x14ac:dyDescent="0.2">
      <c r="B26" t="s">
        <v>70</v>
      </c>
      <c r="C26">
        <v>161</v>
      </c>
      <c r="J26" s="10">
        <v>14</v>
      </c>
      <c r="K26" s="10" t="s">
        <v>54</v>
      </c>
      <c r="L26" s="8">
        <v>-3.4582814378291098</v>
      </c>
      <c r="M26" s="9">
        <v>1.39579062682493</v>
      </c>
      <c r="N26" s="9">
        <v>-2.4776505669018598</v>
      </c>
      <c r="O26" s="9">
        <v>1.32250595535181E-2</v>
      </c>
      <c r="P26" s="10" t="s">
        <v>29</v>
      </c>
      <c r="R26" s="10">
        <v>14</v>
      </c>
      <c r="S26" s="10" t="s">
        <v>51</v>
      </c>
      <c r="T26" s="8">
        <v>-3.9702191422042001</v>
      </c>
      <c r="U26" s="9">
        <v>1.0468923412148701</v>
      </c>
      <c r="V26" s="9">
        <v>-3.79238531595036</v>
      </c>
      <c r="W26" s="9">
        <v>1.49207162801978E-4</v>
      </c>
      <c r="X26" s="10" t="s">
        <v>29</v>
      </c>
    </row>
    <row r="27" spans="2:24" x14ac:dyDescent="0.2">
      <c r="B27" t="s">
        <v>71</v>
      </c>
      <c r="C27" s="20">
        <v>-370.71620000000001</v>
      </c>
      <c r="J27" s="19">
        <v>15</v>
      </c>
      <c r="K27" s="19" t="s">
        <v>55</v>
      </c>
      <c r="L27" s="23">
        <v>-5.3337377077490302</v>
      </c>
      <c r="M27" s="18">
        <v>0.95217044160513498</v>
      </c>
      <c r="N27" s="18">
        <v>-5.6016627640295198</v>
      </c>
      <c r="O27" s="18">
        <v>2.12305300006931E-8</v>
      </c>
      <c r="P27" s="19" t="s">
        <v>29</v>
      </c>
      <c r="R27" s="10">
        <v>15</v>
      </c>
      <c r="S27" s="10" t="s">
        <v>37</v>
      </c>
      <c r="T27" s="8">
        <v>2.25581965531874</v>
      </c>
      <c r="U27" s="9">
        <v>0.52003225255928798</v>
      </c>
      <c r="V27" s="9">
        <v>4.3378456705655104</v>
      </c>
      <c r="W27" s="9">
        <v>1.43886127854653E-5</v>
      </c>
      <c r="X27" s="10" t="s">
        <v>29</v>
      </c>
    </row>
    <row r="28" spans="2:24" x14ac:dyDescent="0.2">
      <c r="B28" t="s">
        <v>72</v>
      </c>
      <c r="C28" s="20">
        <v>-221.21440000000001</v>
      </c>
      <c r="J28" s="28" t="s">
        <v>43</v>
      </c>
      <c r="K28" s="28"/>
      <c r="L28" s="28"/>
      <c r="M28" s="28"/>
      <c r="N28" s="28"/>
      <c r="O28" s="28"/>
      <c r="P28" s="28"/>
      <c r="R28" s="10">
        <v>16</v>
      </c>
      <c r="S28" s="10" t="s">
        <v>52</v>
      </c>
      <c r="T28" s="7">
        <v>0</v>
      </c>
      <c r="U28" s="9">
        <v>0.42272019739969002</v>
      </c>
      <c r="V28" s="9">
        <v>0</v>
      </c>
      <c r="W28" s="9">
        <v>1</v>
      </c>
      <c r="X28" s="17" t="s">
        <v>31</v>
      </c>
    </row>
    <row r="29" spans="2:24" x14ac:dyDescent="0.2">
      <c r="B29" t="s">
        <v>73</v>
      </c>
      <c r="C29" s="20">
        <f>-2*(C27-C28)</f>
        <v>299.00360000000001</v>
      </c>
      <c r="J29" t="s">
        <v>69</v>
      </c>
      <c r="K29">
        <v>16</v>
      </c>
      <c r="L29" s="12"/>
      <c r="M29" s="12"/>
      <c r="N29" s="12"/>
      <c r="O29" s="12"/>
      <c r="R29" s="10">
        <v>17</v>
      </c>
      <c r="S29" s="10" t="s">
        <v>53</v>
      </c>
      <c r="T29" s="8">
        <v>-0.50589921540395999</v>
      </c>
      <c r="U29" s="9">
        <v>0.17364841584215601</v>
      </c>
      <c r="V29" s="9">
        <v>-2.9133534731685198</v>
      </c>
      <c r="W29" s="9">
        <v>3.57569601331153E-3</v>
      </c>
      <c r="X29" s="10" t="s">
        <v>29</v>
      </c>
    </row>
    <row r="30" spans="2:24" x14ac:dyDescent="0.2">
      <c r="B30" t="s">
        <v>74</v>
      </c>
      <c r="C30" s="20">
        <v>466.42869999999999</v>
      </c>
      <c r="J30" t="s">
        <v>70</v>
      </c>
      <c r="K30">
        <v>161</v>
      </c>
      <c r="L30" s="12"/>
      <c r="M30" s="12"/>
      <c r="N30" s="12"/>
      <c r="O30" s="12"/>
      <c r="R30" s="10">
        <v>18</v>
      </c>
      <c r="S30" s="10" t="s">
        <v>54</v>
      </c>
      <c r="T30" s="8">
        <v>-3.22668396069768</v>
      </c>
      <c r="U30" s="9">
        <v>1.41108315868346</v>
      </c>
      <c r="V30" s="9">
        <v>-2.2866717250797302</v>
      </c>
      <c r="W30" s="9">
        <v>2.2214991262075399E-2</v>
      </c>
      <c r="X30" s="10" t="s">
        <v>29</v>
      </c>
    </row>
    <row r="31" spans="2:24" x14ac:dyDescent="0.2">
      <c r="B31" t="s">
        <v>75</v>
      </c>
      <c r="C31" s="20">
        <v>503.40559999999999</v>
      </c>
      <c r="J31" t="s">
        <v>71</v>
      </c>
      <c r="K31" s="20">
        <v>-370.71620000000001</v>
      </c>
      <c r="L31" s="12"/>
      <c r="M31" s="12"/>
      <c r="N31" s="12"/>
      <c r="O31" s="12"/>
      <c r="R31" s="10">
        <v>19</v>
      </c>
      <c r="S31" s="10" t="s">
        <v>55</v>
      </c>
      <c r="T31" s="8">
        <v>-5.3679137126036798</v>
      </c>
      <c r="U31" s="9">
        <v>0.99204069139802298</v>
      </c>
      <c r="V31" s="9">
        <v>-5.4109813832727003</v>
      </c>
      <c r="W31" s="9">
        <v>6.2680288737126904E-8</v>
      </c>
      <c r="X31" s="10" t="s">
        <v>29</v>
      </c>
    </row>
    <row r="32" spans="2:24" x14ac:dyDescent="0.2">
      <c r="J32" t="s">
        <v>72</v>
      </c>
      <c r="K32" s="20">
        <v>-192.13290000000001</v>
      </c>
      <c r="L32" s="12"/>
      <c r="M32" s="12"/>
      <c r="N32" s="12"/>
      <c r="O32" s="12"/>
      <c r="R32" s="28" t="s">
        <v>43</v>
      </c>
      <c r="S32" s="28"/>
      <c r="T32" s="28"/>
      <c r="U32" s="28"/>
      <c r="V32" s="28"/>
      <c r="W32" s="28"/>
      <c r="X32" s="28"/>
    </row>
    <row r="33" spans="2:19" x14ac:dyDescent="0.2">
      <c r="B33" s="29" t="s">
        <v>78</v>
      </c>
      <c r="C33" s="29"/>
      <c r="D33" s="29"/>
      <c r="E33" s="29"/>
      <c r="F33" s="29"/>
      <c r="G33" s="29"/>
      <c r="H33" s="29"/>
      <c r="J33" t="s">
        <v>73</v>
      </c>
      <c r="K33" s="20">
        <f>-2*(K31-K32)</f>
        <v>357.16660000000002</v>
      </c>
      <c r="L33" s="12"/>
      <c r="M33" s="12"/>
      <c r="N33" s="12"/>
      <c r="O33" s="12"/>
      <c r="R33" t="s">
        <v>69</v>
      </c>
      <c r="S33">
        <v>20</v>
      </c>
    </row>
    <row r="34" spans="2:19" x14ac:dyDescent="0.2">
      <c r="B34" s="1" t="s">
        <v>68</v>
      </c>
      <c r="C34" s="1"/>
      <c r="D34" s="1"/>
      <c r="E34" s="1"/>
      <c r="F34" s="1"/>
      <c r="G34" s="1"/>
      <c r="H34" s="1"/>
      <c r="J34" t="s">
        <v>74</v>
      </c>
      <c r="K34" s="20">
        <v>416.26580000000001</v>
      </c>
      <c r="R34" t="s">
        <v>70</v>
      </c>
      <c r="S34">
        <v>161</v>
      </c>
    </row>
    <row r="35" spans="2:19" x14ac:dyDescent="0.2">
      <c r="J35" t="s">
        <v>75</v>
      </c>
      <c r="K35" s="20">
        <v>465.56819999999999</v>
      </c>
      <c r="R35" t="s">
        <v>71</v>
      </c>
      <c r="S35" s="20">
        <v>-370.71620000000001</v>
      </c>
    </row>
    <row r="36" spans="2:19" x14ac:dyDescent="0.2">
      <c r="B36" t="s">
        <v>64</v>
      </c>
      <c r="C36">
        <f>K29-C25</f>
        <v>4</v>
      </c>
      <c r="R36" t="s">
        <v>72</v>
      </c>
      <c r="S36" s="20">
        <v>-183.143</v>
      </c>
    </row>
    <row r="37" spans="2:19" x14ac:dyDescent="0.2">
      <c r="B37" t="s">
        <v>65</v>
      </c>
      <c r="C37" s="20">
        <f>-2*(C28-K32)</f>
        <v>58.163000000000011</v>
      </c>
      <c r="J37" s="29" t="s">
        <v>79</v>
      </c>
      <c r="K37" s="29"/>
      <c r="L37" s="29"/>
      <c r="M37" s="29"/>
      <c r="N37" s="29"/>
      <c r="O37" s="29"/>
      <c r="P37" s="29"/>
      <c r="R37" t="s">
        <v>73</v>
      </c>
      <c r="S37" s="20">
        <f>-2*(S35-S36)</f>
        <v>375.14640000000003</v>
      </c>
    </row>
    <row r="38" spans="2:19" ht="20" x14ac:dyDescent="0.25">
      <c r="B38" t="s">
        <v>66</v>
      </c>
      <c r="C38">
        <v>9.4879999999999995</v>
      </c>
      <c r="D38" s="16" t="s">
        <v>7</v>
      </c>
      <c r="E38" s="27" t="str">
        <f>IF(C37&lt;C38,"H0 cannot be rejected","H0 rejected")</f>
        <v>H0 rejected</v>
      </c>
      <c r="F38" s="27"/>
      <c r="G38" s="27"/>
      <c r="H38" s="27"/>
      <c r="J38" s="30" t="s">
        <v>67</v>
      </c>
      <c r="K38" s="30"/>
      <c r="L38" s="30"/>
      <c r="M38" s="30"/>
      <c r="N38" s="30"/>
      <c r="O38" s="30"/>
      <c r="P38" s="30"/>
      <c r="R38" t="s">
        <v>74</v>
      </c>
      <c r="S38" s="20">
        <v>406.28609999999998</v>
      </c>
    </row>
    <row r="39" spans="2:19" x14ac:dyDescent="0.2">
      <c r="R39" t="s">
        <v>75</v>
      </c>
      <c r="S39" s="20">
        <v>467.91419999999999</v>
      </c>
    </row>
    <row r="40" spans="2:19" x14ac:dyDescent="0.2">
      <c r="J40" t="s">
        <v>64</v>
      </c>
      <c r="K40">
        <f>COUNTA(S12:S31)-COUNTA(K12:K27)</f>
        <v>4</v>
      </c>
    </row>
    <row r="41" spans="2:19" x14ac:dyDescent="0.2">
      <c r="J41" t="s">
        <v>65</v>
      </c>
      <c r="K41" s="20">
        <f>-2*(K32-S36)</f>
        <v>17.979800000000012</v>
      </c>
    </row>
    <row r="42" spans="2:19" ht="20" x14ac:dyDescent="0.25">
      <c r="J42" t="s">
        <v>66</v>
      </c>
      <c r="K42">
        <v>9.4879999999999995</v>
      </c>
      <c r="L42" s="16" t="s">
        <v>7</v>
      </c>
      <c r="M42" s="27" t="str">
        <f>IF(K41&lt;K42,"H0 cannot be rejected","H0 rejected")</f>
        <v>H0 rejected</v>
      </c>
      <c r="N42" s="27"/>
      <c r="O42" s="27"/>
      <c r="P42" s="27"/>
    </row>
  </sheetData>
  <mergeCells count="11">
    <mergeCell ref="M42:P42"/>
    <mergeCell ref="R32:X32"/>
    <mergeCell ref="B24:H24"/>
    <mergeCell ref="J28:P28"/>
    <mergeCell ref="B33:H33"/>
    <mergeCell ref="J37:P37"/>
    <mergeCell ref="E38:H38"/>
    <mergeCell ref="J38:P38"/>
    <mergeCell ref="R10:X10"/>
    <mergeCell ref="B10:H10"/>
    <mergeCell ref="J10:P10"/>
  </mergeCells>
  <conditionalFormatting sqref="E38:H38">
    <cfRule type="cellIs" dxfId="61" priority="3" operator="equal">
      <formula>"H0 cannot be rejected"</formula>
    </cfRule>
    <cfRule type="cellIs" dxfId="60" priority="4" operator="equal">
      <formula>"H0 rejected"</formula>
    </cfRule>
  </conditionalFormatting>
  <conditionalFormatting sqref="M42:P42">
    <cfRule type="cellIs" dxfId="57" priority="1" operator="equal">
      <formula>"H0 cannot be rejected"</formula>
    </cfRule>
    <cfRule type="cellIs" dxfId="56" priority="2" operator="equal">
      <formula>"H0 rejected"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F168E-FA00-4840-95D5-B56AEA6F1738}">
  <sheetPr>
    <tabColor rgb="FF92D050"/>
  </sheetPr>
  <dimension ref="B2:P39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21" t="s">
        <v>12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2:16" x14ac:dyDescent="0.2">
      <c r="B4" s="19" t="s">
        <v>76</v>
      </c>
      <c r="C4" s="19" t="s">
        <v>77</v>
      </c>
      <c r="D4" s="2"/>
      <c r="E4" s="2"/>
      <c r="F4" s="2"/>
    </row>
    <row r="5" spans="2:16" x14ac:dyDescent="0.2">
      <c r="B5" s="10" t="s">
        <v>0</v>
      </c>
      <c r="C5" s="5" t="s">
        <v>5</v>
      </c>
      <c r="D5" s="2"/>
      <c r="E5" s="2"/>
      <c r="F5" s="2"/>
    </row>
    <row r="6" spans="2:16" x14ac:dyDescent="0.2">
      <c r="B6" s="10" t="s">
        <v>2</v>
      </c>
      <c r="C6" s="5" t="s">
        <v>5</v>
      </c>
      <c r="D6" s="2"/>
      <c r="E6" s="2"/>
      <c r="F6" s="2"/>
    </row>
    <row r="7" spans="2:16" x14ac:dyDescent="0.2">
      <c r="B7" s="10" t="s">
        <v>11</v>
      </c>
      <c r="C7" s="5" t="s">
        <v>6</v>
      </c>
      <c r="D7" s="2"/>
      <c r="E7" s="2"/>
      <c r="F7" s="2"/>
    </row>
    <row r="8" spans="2:16" x14ac:dyDescent="0.2">
      <c r="B8" s="10" t="s">
        <v>3</v>
      </c>
      <c r="C8" s="5" t="s">
        <v>6</v>
      </c>
      <c r="D8" s="2"/>
      <c r="E8" s="2"/>
      <c r="F8" s="2"/>
    </row>
    <row r="10" spans="2:16" x14ac:dyDescent="0.2">
      <c r="B10" s="26" t="s">
        <v>94</v>
      </c>
      <c r="C10" s="26"/>
      <c r="D10" s="26"/>
      <c r="E10" s="26"/>
      <c r="F10" s="26"/>
      <c r="G10" s="26"/>
      <c r="H10" s="26"/>
      <c r="J10" s="26" t="s">
        <v>95</v>
      </c>
      <c r="K10" s="26"/>
      <c r="L10" s="26"/>
      <c r="M10" s="26"/>
      <c r="N10" s="26"/>
      <c r="O10" s="26"/>
      <c r="P10" s="26"/>
    </row>
    <row r="11" spans="2:16" x14ac:dyDescent="0.2">
      <c r="B11" s="11" t="s">
        <v>42</v>
      </c>
      <c r="C11" s="11" t="s">
        <v>22</v>
      </c>
      <c r="D11" s="13" t="s">
        <v>23</v>
      </c>
      <c r="E11" s="13" t="s">
        <v>24</v>
      </c>
      <c r="F11" s="13" t="s">
        <v>25</v>
      </c>
      <c r="G11" s="13" t="s">
        <v>26</v>
      </c>
      <c r="H11" s="11" t="s">
        <v>27</v>
      </c>
      <c r="J11" s="11" t="s">
        <v>42</v>
      </c>
      <c r="K11" s="11" t="s">
        <v>22</v>
      </c>
      <c r="L11" s="11" t="s">
        <v>23</v>
      </c>
      <c r="M11" s="11" t="s">
        <v>24</v>
      </c>
      <c r="N11" s="11" t="s">
        <v>25</v>
      </c>
      <c r="O11" s="11" t="s">
        <v>26</v>
      </c>
      <c r="P11" s="11" t="s">
        <v>27</v>
      </c>
    </row>
    <row r="12" spans="2:16" x14ac:dyDescent="0.2">
      <c r="B12" s="10">
        <v>0</v>
      </c>
      <c r="C12" s="10" t="s">
        <v>28</v>
      </c>
      <c r="D12" s="7">
        <v>0</v>
      </c>
      <c r="E12" s="9">
        <v>0.43490679518485398</v>
      </c>
      <c r="F12" s="9">
        <v>0</v>
      </c>
      <c r="G12" s="9">
        <v>1</v>
      </c>
      <c r="H12" s="17" t="s">
        <v>31</v>
      </c>
      <c r="J12" s="10">
        <v>0</v>
      </c>
      <c r="K12" s="10" t="s">
        <v>28</v>
      </c>
      <c r="L12" s="8">
        <v>1.30267032874124</v>
      </c>
      <c r="M12" s="9">
        <v>0.58845836918914995</v>
      </c>
      <c r="N12" s="9">
        <v>2.2137000626505099</v>
      </c>
      <c r="O12" s="9">
        <v>2.6849418631949E-2</v>
      </c>
      <c r="P12" s="10" t="s">
        <v>29</v>
      </c>
    </row>
    <row r="13" spans="2:16" x14ac:dyDescent="0.2">
      <c r="B13" s="10">
        <v>1</v>
      </c>
      <c r="C13" s="10" t="s">
        <v>30</v>
      </c>
      <c r="D13" s="7">
        <v>0</v>
      </c>
      <c r="E13" s="9">
        <v>0.15787469900363499</v>
      </c>
      <c r="F13" s="9">
        <v>0</v>
      </c>
      <c r="G13" s="9">
        <v>1</v>
      </c>
      <c r="H13" s="17" t="s">
        <v>31</v>
      </c>
      <c r="J13" s="10">
        <v>1</v>
      </c>
      <c r="K13" s="10" t="s">
        <v>56</v>
      </c>
      <c r="L13" s="8">
        <v>-1.12840150097022</v>
      </c>
      <c r="M13" s="9">
        <v>0.26962567511282198</v>
      </c>
      <c r="N13" s="9">
        <v>-4.1850669469739996</v>
      </c>
      <c r="O13" s="9">
        <v>2.8508206927346699E-5</v>
      </c>
      <c r="P13" s="10" t="s">
        <v>29</v>
      </c>
    </row>
    <row r="14" spans="2:16" x14ac:dyDescent="0.2">
      <c r="B14" s="10">
        <v>2</v>
      </c>
      <c r="C14" s="10" t="s">
        <v>32</v>
      </c>
      <c r="D14" s="7">
        <v>0</v>
      </c>
      <c r="E14" s="9">
        <v>8.6915898367338706E-2</v>
      </c>
      <c r="F14" s="9">
        <v>0</v>
      </c>
      <c r="G14" s="9">
        <v>1</v>
      </c>
      <c r="H14" s="17" t="s">
        <v>31</v>
      </c>
      <c r="J14" s="10">
        <v>2</v>
      </c>
      <c r="K14" s="10" t="s">
        <v>57</v>
      </c>
      <c r="L14" s="8">
        <v>-1.28725315951849</v>
      </c>
      <c r="M14" s="9">
        <v>0.25009537168138701</v>
      </c>
      <c r="N14" s="9">
        <v>-5.14704910716382</v>
      </c>
      <c r="O14" s="9">
        <v>2.6461607216532398E-7</v>
      </c>
      <c r="P14" s="10" t="s">
        <v>29</v>
      </c>
    </row>
    <row r="15" spans="2:16" x14ac:dyDescent="0.2">
      <c r="B15" s="10">
        <v>3</v>
      </c>
      <c r="C15" s="10" t="s">
        <v>33</v>
      </c>
      <c r="D15" s="7">
        <v>0</v>
      </c>
      <c r="E15" s="9">
        <v>0.24965589967768101</v>
      </c>
      <c r="F15" s="9">
        <v>0</v>
      </c>
      <c r="G15" s="9">
        <v>1</v>
      </c>
      <c r="H15" s="17" t="s">
        <v>31</v>
      </c>
      <c r="J15" s="10">
        <v>3</v>
      </c>
      <c r="K15" s="10" t="s">
        <v>58</v>
      </c>
      <c r="L15" s="8">
        <v>-1.51876814864924E-2</v>
      </c>
      <c r="M15" s="9">
        <v>0.233519314876768</v>
      </c>
      <c r="N15" s="9">
        <v>-6.5038223902409001E-2</v>
      </c>
      <c r="O15" s="9">
        <v>0.94814356639205499</v>
      </c>
      <c r="P15" s="10" t="s">
        <v>29</v>
      </c>
    </row>
    <row r="16" spans="2:16" x14ac:dyDescent="0.2">
      <c r="B16" s="10">
        <v>4</v>
      </c>
      <c r="C16" s="10" t="s">
        <v>34</v>
      </c>
      <c r="D16" s="8">
        <v>-0.70775652220179097</v>
      </c>
      <c r="E16" s="9">
        <v>9.8100116448518307E-2</v>
      </c>
      <c r="F16" s="9">
        <v>-7.2146348834683796</v>
      </c>
      <c r="G16" s="9">
        <v>5.4067861299245103E-13</v>
      </c>
      <c r="H16" s="10" t="s">
        <v>29</v>
      </c>
      <c r="J16" s="10">
        <v>4</v>
      </c>
      <c r="K16" s="10" t="s">
        <v>59</v>
      </c>
      <c r="L16" s="8">
        <v>-0.298904818432502</v>
      </c>
      <c r="M16" s="9">
        <v>0.27051493758600997</v>
      </c>
      <c r="N16" s="9">
        <v>-1.1049475533581701</v>
      </c>
      <c r="O16" s="9">
        <v>0.26918231539666099</v>
      </c>
      <c r="P16" s="10" t="s">
        <v>29</v>
      </c>
    </row>
    <row r="17" spans="2:16" x14ac:dyDescent="0.2">
      <c r="B17" s="10">
        <v>5</v>
      </c>
      <c r="C17" s="10" t="s">
        <v>36</v>
      </c>
      <c r="D17" s="8">
        <v>1.99317994194143</v>
      </c>
      <c r="E17" s="9">
        <v>0.33166463562713899</v>
      </c>
      <c r="F17" s="9">
        <v>6.0096245660094603</v>
      </c>
      <c r="G17" s="9">
        <v>1.8595343043159499E-9</v>
      </c>
      <c r="H17" s="10" t="s">
        <v>29</v>
      </c>
      <c r="J17" s="10">
        <v>5</v>
      </c>
      <c r="K17" s="10" t="s">
        <v>36</v>
      </c>
      <c r="L17" s="8">
        <v>1.7191507191089399</v>
      </c>
      <c r="M17" s="9">
        <v>0.35328331798200702</v>
      </c>
      <c r="N17" s="9">
        <v>4.8662097291457496</v>
      </c>
      <c r="O17" s="9">
        <v>1.13758798381269E-6</v>
      </c>
      <c r="P17" s="10" t="s">
        <v>29</v>
      </c>
    </row>
    <row r="18" spans="2:16" x14ac:dyDescent="0.2">
      <c r="B18" s="10">
        <v>6</v>
      </c>
      <c r="C18" s="10" t="s">
        <v>80</v>
      </c>
      <c r="D18" s="8">
        <v>0.31142513101251101</v>
      </c>
      <c r="E18" s="9">
        <v>0.38368549792457002</v>
      </c>
      <c r="F18" s="9">
        <v>0.81166771404463001</v>
      </c>
      <c r="G18" s="9">
        <v>0.41698232499756399</v>
      </c>
      <c r="H18" s="10" t="s">
        <v>29</v>
      </c>
      <c r="J18" s="10">
        <v>6</v>
      </c>
      <c r="K18" s="10" t="s">
        <v>48</v>
      </c>
      <c r="L18" s="7">
        <v>0</v>
      </c>
      <c r="M18" s="9">
        <v>0.26361617965079498</v>
      </c>
      <c r="N18" s="9">
        <v>0</v>
      </c>
      <c r="O18" s="9">
        <v>1</v>
      </c>
      <c r="P18" s="17" t="s">
        <v>31</v>
      </c>
    </row>
    <row r="19" spans="2:16" x14ac:dyDescent="0.2">
      <c r="B19" s="10">
        <v>7</v>
      </c>
      <c r="C19" s="10" t="s">
        <v>38</v>
      </c>
      <c r="D19" s="7">
        <v>0</v>
      </c>
      <c r="E19" s="9">
        <v>0.18085736874481101</v>
      </c>
      <c r="F19" s="9">
        <v>0</v>
      </c>
      <c r="G19" s="9">
        <v>1</v>
      </c>
      <c r="H19" s="17" t="s">
        <v>31</v>
      </c>
      <c r="J19" s="10">
        <v>7</v>
      </c>
      <c r="K19" s="10" t="s">
        <v>49</v>
      </c>
      <c r="L19" s="7">
        <v>0</v>
      </c>
      <c r="M19" s="9">
        <v>0.126739629058019</v>
      </c>
      <c r="N19" s="9">
        <v>0</v>
      </c>
      <c r="O19" s="9">
        <v>1</v>
      </c>
      <c r="P19" s="17" t="s">
        <v>31</v>
      </c>
    </row>
    <row r="20" spans="2:16" x14ac:dyDescent="0.2">
      <c r="B20" s="10">
        <v>8</v>
      </c>
      <c r="C20" s="10" t="s">
        <v>39</v>
      </c>
      <c r="D20" s="7">
        <v>0</v>
      </c>
      <c r="E20" s="9">
        <v>0.11624713075585399</v>
      </c>
      <c r="F20" s="9">
        <v>0</v>
      </c>
      <c r="G20" s="9">
        <v>1</v>
      </c>
      <c r="H20" s="17" t="s">
        <v>31</v>
      </c>
      <c r="J20" s="10">
        <v>8</v>
      </c>
      <c r="K20" s="10" t="s">
        <v>50</v>
      </c>
      <c r="L20" s="7">
        <v>0</v>
      </c>
      <c r="M20" s="9">
        <v>0.58365349168416203</v>
      </c>
      <c r="N20" s="9">
        <v>0</v>
      </c>
      <c r="O20" s="9">
        <v>1</v>
      </c>
      <c r="P20" s="17" t="s">
        <v>31</v>
      </c>
    </row>
    <row r="21" spans="2:16" x14ac:dyDescent="0.2">
      <c r="B21" s="10">
        <v>9</v>
      </c>
      <c r="C21" s="10" t="s">
        <v>40</v>
      </c>
      <c r="D21" s="8">
        <v>-0.80035601174276005</v>
      </c>
      <c r="E21" s="9">
        <v>0.29109262399786201</v>
      </c>
      <c r="F21" s="9">
        <v>-2.7494891514277402</v>
      </c>
      <c r="G21" s="9">
        <v>5.9688238656638798E-3</v>
      </c>
      <c r="H21" s="10" t="s">
        <v>29</v>
      </c>
      <c r="J21" s="10">
        <v>9</v>
      </c>
      <c r="K21" s="10" t="s">
        <v>51</v>
      </c>
      <c r="L21" s="8">
        <v>-0.75145073288471398</v>
      </c>
      <c r="M21" s="9">
        <v>0.11031457455511599</v>
      </c>
      <c r="N21" s="9">
        <v>-6.8118898696315497</v>
      </c>
      <c r="O21" s="9">
        <v>9.6325170062527799E-12</v>
      </c>
      <c r="P21" s="10" t="s">
        <v>29</v>
      </c>
    </row>
    <row r="22" spans="2:16" x14ac:dyDescent="0.2">
      <c r="B22" s="10">
        <v>10</v>
      </c>
      <c r="C22" s="10" t="s">
        <v>41</v>
      </c>
      <c r="D22" s="8">
        <v>-0.78406193746588804</v>
      </c>
      <c r="E22" s="9">
        <v>0.13438818106852099</v>
      </c>
      <c r="F22" s="9">
        <v>-5.8343072376737597</v>
      </c>
      <c r="G22" s="9">
        <v>5.4014512862465802E-9</v>
      </c>
      <c r="H22" s="10" t="s">
        <v>29</v>
      </c>
      <c r="J22" s="10">
        <v>10</v>
      </c>
      <c r="K22" s="10" t="s">
        <v>80</v>
      </c>
      <c r="L22" s="8">
        <v>1.15070356898617</v>
      </c>
      <c r="M22" s="9">
        <v>0.55670999696143497</v>
      </c>
      <c r="N22" s="9">
        <v>2.0669712691828801</v>
      </c>
      <c r="O22" s="9">
        <v>3.87368612908753E-2</v>
      </c>
      <c r="P22" s="10" t="s">
        <v>29</v>
      </c>
    </row>
    <row r="23" spans="2:16" x14ac:dyDescent="0.2">
      <c r="B23" s="19">
        <v>11</v>
      </c>
      <c r="C23" s="19" t="s">
        <v>37</v>
      </c>
      <c r="D23" s="23">
        <v>0.63042321780352395</v>
      </c>
      <c r="E23" s="18">
        <v>0.31412417656285302</v>
      </c>
      <c r="F23" s="18">
        <v>2.0069235825832101</v>
      </c>
      <c r="G23" s="18">
        <v>4.4757800388791798E-2</v>
      </c>
      <c r="H23" s="19" t="s">
        <v>29</v>
      </c>
      <c r="J23" s="10">
        <v>11</v>
      </c>
      <c r="K23" s="10" t="s">
        <v>81</v>
      </c>
      <c r="L23" s="7">
        <v>0</v>
      </c>
      <c r="M23" s="9">
        <v>0.35820988500756201</v>
      </c>
      <c r="N23" s="9">
        <v>0</v>
      </c>
      <c r="O23" s="9">
        <v>1</v>
      </c>
      <c r="P23" s="17" t="s">
        <v>31</v>
      </c>
    </row>
    <row r="24" spans="2:16" x14ac:dyDescent="0.2">
      <c r="B24" s="28" t="s">
        <v>43</v>
      </c>
      <c r="C24" s="28"/>
      <c r="D24" s="28"/>
      <c r="E24" s="28"/>
      <c r="F24" s="28"/>
      <c r="G24" s="28"/>
      <c r="H24" s="28"/>
      <c r="J24" s="10">
        <v>12</v>
      </c>
      <c r="K24" s="10" t="s">
        <v>82</v>
      </c>
      <c r="L24" s="8">
        <v>-0.111111815909732</v>
      </c>
      <c r="M24" s="9">
        <v>0.21364217163741001</v>
      </c>
      <c r="N24" s="9">
        <v>-0.52008372250732104</v>
      </c>
      <c r="O24" s="9">
        <v>0.60300522303030601</v>
      </c>
      <c r="P24" s="10" t="s">
        <v>29</v>
      </c>
    </row>
    <row r="25" spans="2:16" x14ac:dyDescent="0.2">
      <c r="B25" t="s">
        <v>69</v>
      </c>
      <c r="C25">
        <v>12</v>
      </c>
      <c r="J25" s="10">
        <v>13</v>
      </c>
      <c r="K25" s="10" t="s">
        <v>83</v>
      </c>
      <c r="L25" s="8">
        <v>-1.97648354136321</v>
      </c>
      <c r="M25" s="9">
        <v>0.69957056842338405</v>
      </c>
      <c r="N25" s="9">
        <v>-2.82528115186091</v>
      </c>
      <c r="O25" s="9">
        <v>4.7239145668880296E-3</v>
      </c>
      <c r="P25" s="10" t="s">
        <v>29</v>
      </c>
    </row>
    <row r="26" spans="2:16" x14ac:dyDescent="0.2">
      <c r="B26" t="s">
        <v>70</v>
      </c>
      <c r="C26">
        <v>172</v>
      </c>
      <c r="J26" s="10">
        <v>14</v>
      </c>
      <c r="K26" s="10" t="s">
        <v>84</v>
      </c>
      <c r="L26" s="8">
        <v>-1.8982127949063501</v>
      </c>
      <c r="M26" s="9">
        <v>0.403612898116538</v>
      </c>
      <c r="N26" s="9">
        <v>-4.70305286021427</v>
      </c>
      <c r="O26" s="9">
        <v>2.5630002886689498E-6</v>
      </c>
      <c r="P26" s="10" t="s">
        <v>29</v>
      </c>
    </row>
    <row r="27" spans="2:16" x14ac:dyDescent="0.2">
      <c r="B27" t="s">
        <v>71</v>
      </c>
      <c r="C27" s="20">
        <v>-396.0446</v>
      </c>
      <c r="J27" s="10">
        <v>15</v>
      </c>
      <c r="K27" s="10" t="s">
        <v>37</v>
      </c>
      <c r="L27" s="8">
        <v>0.10354693192140101</v>
      </c>
      <c r="M27" s="9">
        <v>0.35806102834915599</v>
      </c>
      <c r="N27" s="9">
        <v>0.28918794206341097</v>
      </c>
      <c r="O27" s="9">
        <v>0.77243755867658803</v>
      </c>
      <c r="P27" s="10" t="s">
        <v>29</v>
      </c>
    </row>
    <row r="28" spans="2:16" x14ac:dyDescent="0.2">
      <c r="B28" t="s">
        <v>72</v>
      </c>
      <c r="C28" s="20">
        <v>-262.0086</v>
      </c>
      <c r="J28" s="10">
        <v>16</v>
      </c>
      <c r="K28" s="10" t="s">
        <v>52</v>
      </c>
      <c r="L28" s="7">
        <v>0</v>
      </c>
      <c r="M28" s="9">
        <v>0.209130243087014</v>
      </c>
      <c r="N28" s="9">
        <v>0</v>
      </c>
      <c r="O28" s="9">
        <v>1</v>
      </c>
      <c r="P28" s="17" t="s">
        <v>31</v>
      </c>
    </row>
    <row r="29" spans="2:16" x14ac:dyDescent="0.2">
      <c r="B29" t="s">
        <v>73</v>
      </c>
      <c r="C29" s="20">
        <f>-2*(C27-C28)</f>
        <v>268.072</v>
      </c>
      <c r="J29" s="10">
        <v>17</v>
      </c>
      <c r="K29" s="10" t="s">
        <v>53</v>
      </c>
      <c r="L29" s="7">
        <v>0</v>
      </c>
      <c r="M29" s="9">
        <v>0.141675353604163</v>
      </c>
      <c r="N29" s="9">
        <v>0</v>
      </c>
      <c r="O29" s="9">
        <v>1</v>
      </c>
      <c r="P29" s="17" t="s">
        <v>31</v>
      </c>
    </row>
    <row r="30" spans="2:16" x14ac:dyDescent="0.2">
      <c r="B30" t="s">
        <v>74</v>
      </c>
      <c r="C30" s="20">
        <v>548.0172</v>
      </c>
      <c r="J30" s="10">
        <v>18</v>
      </c>
      <c r="K30" s="10" t="s">
        <v>54</v>
      </c>
      <c r="L30" s="8">
        <v>-0.12131063567868</v>
      </c>
      <c r="M30" s="9">
        <v>0.33789304252393398</v>
      </c>
      <c r="N30" s="9">
        <v>-0.35902081549988502</v>
      </c>
      <c r="O30" s="9">
        <v>0.71957951746284099</v>
      </c>
      <c r="P30" s="10" t="s">
        <v>29</v>
      </c>
    </row>
    <row r="31" spans="2:16" x14ac:dyDescent="0.2">
      <c r="B31" t="s">
        <v>75</v>
      </c>
      <c r="C31" s="20">
        <v>585.78710000000001</v>
      </c>
      <c r="J31" s="10">
        <v>19</v>
      </c>
      <c r="K31" s="10" t="s">
        <v>55</v>
      </c>
      <c r="L31" s="8">
        <v>-0.55838433383221597</v>
      </c>
      <c r="M31" s="9">
        <v>0.143735937413531</v>
      </c>
      <c r="N31" s="9">
        <v>-3.8847927935080899</v>
      </c>
      <c r="O31" s="9">
        <v>1.0241719879711099E-4</v>
      </c>
      <c r="P31" s="10" t="s">
        <v>29</v>
      </c>
    </row>
    <row r="32" spans="2:16" x14ac:dyDescent="0.2">
      <c r="J32" s="28" t="s">
        <v>43</v>
      </c>
      <c r="K32" s="28"/>
      <c r="L32" s="28"/>
      <c r="M32" s="28"/>
      <c r="N32" s="28"/>
      <c r="O32" s="28"/>
      <c r="P32" s="28"/>
    </row>
    <row r="33" spans="2:11" x14ac:dyDescent="0.2">
      <c r="B33" s="29" t="s">
        <v>78</v>
      </c>
      <c r="C33" s="29"/>
      <c r="D33" s="29"/>
      <c r="E33" s="29"/>
      <c r="F33" s="29"/>
      <c r="G33" s="29"/>
      <c r="H33" s="29"/>
      <c r="J33" t="s">
        <v>69</v>
      </c>
      <c r="K33">
        <v>20</v>
      </c>
    </row>
    <row r="34" spans="2:11" x14ac:dyDescent="0.2">
      <c r="B34" s="1" t="s">
        <v>68</v>
      </c>
      <c r="C34" s="1"/>
      <c r="D34" s="1"/>
      <c r="E34" s="1"/>
      <c r="F34" s="1"/>
      <c r="G34" s="1"/>
      <c r="H34" s="1"/>
      <c r="J34" t="s">
        <v>70</v>
      </c>
      <c r="K34">
        <v>172</v>
      </c>
    </row>
    <row r="35" spans="2:11" x14ac:dyDescent="0.2">
      <c r="J35" t="s">
        <v>71</v>
      </c>
      <c r="K35" s="20">
        <v>-396.0446</v>
      </c>
    </row>
    <row r="36" spans="2:11" x14ac:dyDescent="0.2">
      <c r="B36" t="s">
        <v>64</v>
      </c>
      <c r="C36">
        <f>K33-C25</f>
        <v>8</v>
      </c>
      <c r="J36" t="s">
        <v>72</v>
      </c>
      <c r="K36" s="20">
        <v>-230.62559999999999</v>
      </c>
    </row>
    <row r="37" spans="2:11" x14ac:dyDescent="0.2">
      <c r="B37" t="s">
        <v>65</v>
      </c>
      <c r="C37" s="20">
        <f>-2*(C28-K36)</f>
        <v>62.76600000000002</v>
      </c>
      <c r="J37" t="s">
        <v>73</v>
      </c>
      <c r="K37" s="20">
        <f>-2*(K35-K36)</f>
        <v>330.83800000000002</v>
      </c>
    </row>
    <row r="38" spans="2:11" ht="20" x14ac:dyDescent="0.25">
      <c r="B38" t="s">
        <v>92</v>
      </c>
      <c r="C38">
        <v>15.507</v>
      </c>
      <c r="D38" s="16" t="s">
        <v>7</v>
      </c>
      <c r="E38" s="27" t="str">
        <f>IF(C37&lt;C38,"H0 cannot be rejected","H0 rejected")</f>
        <v>H0 rejected</v>
      </c>
      <c r="F38" s="27"/>
      <c r="G38" s="27"/>
      <c r="H38" s="27"/>
      <c r="J38" t="s">
        <v>74</v>
      </c>
      <c r="K38" s="20">
        <v>501.25110000000001</v>
      </c>
    </row>
    <row r="39" spans="2:11" x14ac:dyDescent="0.2">
      <c r="J39" t="s">
        <v>75</v>
      </c>
      <c r="K39" s="20">
        <v>564.20100000000002</v>
      </c>
    </row>
  </sheetData>
  <mergeCells count="6">
    <mergeCell ref="J32:P32"/>
    <mergeCell ref="B24:H24"/>
    <mergeCell ref="B33:H33"/>
    <mergeCell ref="E38:H38"/>
    <mergeCell ref="B10:H10"/>
    <mergeCell ref="J10:P10"/>
  </mergeCells>
  <conditionalFormatting sqref="E38:H38">
    <cfRule type="cellIs" dxfId="53" priority="3" operator="equal">
      <formula>"H0 cannot be rejected"</formula>
    </cfRule>
    <cfRule type="cellIs" dxfId="52" priority="4" operator="equal">
      <formula>"H0 rejected"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DE318-F059-3C46-BBF7-157B5A39D95F}">
  <sheetPr>
    <tabColor rgb="FF92D050"/>
  </sheetPr>
  <dimension ref="B2:P38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21" t="s">
        <v>13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2:16" x14ac:dyDescent="0.2">
      <c r="B4" s="19" t="s">
        <v>76</v>
      </c>
      <c r="C4" s="19" t="s">
        <v>77</v>
      </c>
      <c r="D4" s="2"/>
      <c r="E4" s="2"/>
      <c r="F4" s="2"/>
    </row>
    <row r="5" spans="2:16" x14ac:dyDescent="0.2">
      <c r="B5" s="10" t="s">
        <v>2</v>
      </c>
      <c r="C5" s="5" t="s">
        <v>5</v>
      </c>
      <c r="D5" s="2"/>
      <c r="E5" s="2"/>
      <c r="F5" s="2"/>
    </row>
    <row r="6" spans="2:16" x14ac:dyDescent="0.2">
      <c r="B6" s="10" t="s">
        <v>3</v>
      </c>
      <c r="C6" s="5" t="s">
        <v>6</v>
      </c>
      <c r="D6" s="2"/>
      <c r="E6" s="2"/>
      <c r="F6" s="2"/>
    </row>
    <row r="8" spans="2:16" x14ac:dyDescent="0.2">
      <c r="B8" s="26" t="s">
        <v>94</v>
      </c>
      <c r="C8" s="26"/>
      <c r="D8" s="26"/>
      <c r="E8" s="26"/>
      <c r="F8" s="26"/>
      <c r="G8" s="26"/>
      <c r="H8" s="26"/>
      <c r="J8" s="26" t="s">
        <v>95</v>
      </c>
      <c r="K8" s="26"/>
      <c r="L8" s="26"/>
      <c r="M8" s="26"/>
      <c r="N8" s="26"/>
      <c r="O8" s="26"/>
      <c r="P8" s="26"/>
    </row>
    <row r="9" spans="2:16" x14ac:dyDescent="0.2">
      <c r="B9" s="11" t="s">
        <v>42</v>
      </c>
      <c r="C9" s="11" t="s">
        <v>22</v>
      </c>
      <c r="D9" s="13" t="s">
        <v>23</v>
      </c>
      <c r="E9" s="13" t="s">
        <v>24</v>
      </c>
      <c r="F9" s="13" t="s">
        <v>25</v>
      </c>
      <c r="G9" s="13" t="s">
        <v>26</v>
      </c>
      <c r="H9" s="11" t="s">
        <v>27</v>
      </c>
      <c r="J9" s="11" t="s">
        <v>42</v>
      </c>
      <c r="K9" s="11" t="s">
        <v>22</v>
      </c>
      <c r="L9" s="11" t="s">
        <v>23</v>
      </c>
      <c r="M9" s="11" t="s">
        <v>24</v>
      </c>
      <c r="N9" s="11" t="s">
        <v>25</v>
      </c>
      <c r="O9" s="11" t="s">
        <v>26</v>
      </c>
      <c r="P9" s="11" t="s">
        <v>27</v>
      </c>
    </row>
    <row r="10" spans="2:16" x14ac:dyDescent="0.2">
      <c r="B10" s="10">
        <v>0</v>
      </c>
      <c r="C10" s="10" t="s">
        <v>36</v>
      </c>
      <c r="D10" s="8">
        <v>3.7717847958403001</v>
      </c>
      <c r="E10" s="9">
        <v>0.60142007368849104</v>
      </c>
      <c r="F10" s="9">
        <v>6.2714647562527297</v>
      </c>
      <c r="G10" s="9">
        <v>3.5766722916719103E-10</v>
      </c>
      <c r="H10" s="10" t="s">
        <v>29</v>
      </c>
      <c r="J10" s="10">
        <v>0</v>
      </c>
      <c r="K10" s="10" t="s">
        <v>36</v>
      </c>
      <c r="L10" s="8">
        <v>3.7717847958403001</v>
      </c>
      <c r="M10" s="9">
        <v>0.60142007368849104</v>
      </c>
      <c r="N10" s="9">
        <v>6.2714647562527297</v>
      </c>
      <c r="O10" s="9">
        <v>3.5766722916719103E-10</v>
      </c>
      <c r="P10" s="10" t="s">
        <v>29</v>
      </c>
    </row>
    <row r="11" spans="2:16" x14ac:dyDescent="0.2">
      <c r="B11" s="10">
        <v>1</v>
      </c>
      <c r="C11" s="10" t="s">
        <v>30</v>
      </c>
      <c r="D11" s="7">
        <v>0</v>
      </c>
      <c r="E11" s="9">
        <v>0.21199468014272899</v>
      </c>
      <c r="F11" s="9">
        <v>0</v>
      </c>
      <c r="G11" s="9">
        <v>1</v>
      </c>
      <c r="H11" s="17" t="s">
        <v>31</v>
      </c>
      <c r="J11" s="10">
        <v>1</v>
      </c>
      <c r="K11" s="10" t="s">
        <v>48</v>
      </c>
      <c r="L11" s="7">
        <v>0</v>
      </c>
      <c r="M11" s="9">
        <v>0.21199468014272899</v>
      </c>
      <c r="N11" s="9">
        <v>0</v>
      </c>
      <c r="O11" s="9">
        <v>1</v>
      </c>
      <c r="P11" s="17" t="s">
        <v>31</v>
      </c>
    </row>
    <row r="12" spans="2:16" x14ac:dyDescent="0.2">
      <c r="B12" s="10">
        <v>2</v>
      </c>
      <c r="C12" s="10" t="s">
        <v>32</v>
      </c>
      <c r="D12" s="8">
        <v>-0.34681298774095598</v>
      </c>
      <c r="E12" s="9">
        <v>0.17670018581522101</v>
      </c>
      <c r="F12" s="9">
        <v>-1.9627199945540701</v>
      </c>
      <c r="G12" s="9">
        <v>4.9678718523086203E-2</v>
      </c>
      <c r="H12" s="10" t="s">
        <v>29</v>
      </c>
      <c r="J12" s="10">
        <v>2</v>
      </c>
      <c r="K12" s="10" t="s">
        <v>49</v>
      </c>
      <c r="L12" s="8">
        <v>-0.34681298774095598</v>
      </c>
      <c r="M12" s="9">
        <v>0.17670018581522101</v>
      </c>
      <c r="N12" s="9">
        <v>-1.9627199945540701</v>
      </c>
      <c r="O12" s="9">
        <v>4.9678718523086203E-2</v>
      </c>
      <c r="P12" s="10" t="s">
        <v>29</v>
      </c>
    </row>
    <row r="13" spans="2:16" x14ac:dyDescent="0.2">
      <c r="B13" s="10">
        <v>3</v>
      </c>
      <c r="C13" s="10" t="s">
        <v>33</v>
      </c>
      <c r="D13" s="7">
        <v>0</v>
      </c>
      <c r="E13" s="9">
        <v>1.93561150136049</v>
      </c>
      <c r="F13" s="9">
        <v>0</v>
      </c>
      <c r="G13" s="9">
        <v>1</v>
      </c>
      <c r="H13" s="17" t="s">
        <v>31</v>
      </c>
      <c r="J13" s="10">
        <v>3</v>
      </c>
      <c r="K13" s="10" t="s">
        <v>50</v>
      </c>
      <c r="L13" s="7">
        <v>0</v>
      </c>
      <c r="M13" s="9">
        <v>1.93561150136049</v>
      </c>
      <c r="N13" s="9">
        <v>0</v>
      </c>
      <c r="O13" s="9">
        <v>1</v>
      </c>
      <c r="P13" s="17" t="s">
        <v>31</v>
      </c>
    </row>
    <row r="14" spans="2:16" x14ac:dyDescent="0.2">
      <c r="B14" s="10">
        <v>4</v>
      </c>
      <c r="C14" s="10" t="s">
        <v>34</v>
      </c>
      <c r="D14" s="8">
        <v>-4.3629294618151402</v>
      </c>
      <c r="E14" s="9">
        <v>0.64095806920491605</v>
      </c>
      <c r="F14" s="9">
        <v>-6.8068874883300703</v>
      </c>
      <c r="G14" s="9">
        <v>9.9733554748126998E-12</v>
      </c>
      <c r="H14" s="10" t="s">
        <v>29</v>
      </c>
      <c r="J14" s="10">
        <v>4</v>
      </c>
      <c r="K14" s="10" t="s">
        <v>51</v>
      </c>
      <c r="L14" s="8">
        <v>-4.3629294618151402</v>
      </c>
      <c r="M14" s="9">
        <v>0.64095806920491605</v>
      </c>
      <c r="N14" s="9">
        <v>-6.8068874883300703</v>
      </c>
      <c r="O14" s="9">
        <v>9.9733554748126998E-12</v>
      </c>
      <c r="P14" s="10" t="s">
        <v>29</v>
      </c>
    </row>
    <row r="15" spans="2:16" x14ac:dyDescent="0.2">
      <c r="B15" s="10">
        <v>5</v>
      </c>
      <c r="C15" s="10" t="s">
        <v>37</v>
      </c>
      <c r="D15" s="8">
        <v>1.68129101565343</v>
      </c>
      <c r="E15" s="9">
        <v>0.55038860641057397</v>
      </c>
      <c r="F15" s="9">
        <v>3.0547344114155499</v>
      </c>
      <c r="G15" s="9">
        <v>2.2525990370829601E-3</v>
      </c>
      <c r="H15" s="10" t="s">
        <v>29</v>
      </c>
      <c r="J15" s="10">
        <v>5</v>
      </c>
      <c r="K15" s="10" t="s">
        <v>37</v>
      </c>
      <c r="L15" s="8">
        <v>1.68129101565343</v>
      </c>
      <c r="M15" s="9">
        <v>0.55038860641057397</v>
      </c>
      <c r="N15" s="9">
        <v>3.0547344114155499</v>
      </c>
      <c r="O15" s="9">
        <v>2.2525990370829601E-3</v>
      </c>
      <c r="P15" s="10" t="s">
        <v>29</v>
      </c>
    </row>
    <row r="16" spans="2:16" x14ac:dyDescent="0.2">
      <c r="B16" s="10">
        <v>6</v>
      </c>
      <c r="C16" s="10" t="s">
        <v>38</v>
      </c>
      <c r="D16" s="7">
        <v>0</v>
      </c>
      <c r="E16" s="9">
        <v>0.254515737223733</v>
      </c>
      <c r="F16" s="9">
        <v>0</v>
      </c>
      <c r="G16" s="9">
        <v>1</v>
      </c>
      <c r="H16" s="17" t="s">
        <v>31</v>
      </c>
      <c r="J16" s="10">
        <v>6</v>
      </c>
      <c r="K16" s="10" t="s">
        <v>52</v>
      </c>
      <c r="L16" s="7">
        <v>0</v>
      </c>
      <c r="M16" s="9">
        <v>0.254515737223733</v>
      </c>
      <c r="N16" s="9">
        <v>0</v>
      </c>
      <c r="O16" s="9">
        <v>1</v>
      </c>
      <c r="P16" s="17" t="s">
        <v>31</v>
      </c>
    </row>
    <row r="17" spans="2:16" x14ac:dyDescent="0.2">
      <c r="B17" s="10">
        <v>7</v>
      </c>
      <c r="C17" s="10" t="s">
        <v>39</v>
      </c>
      <c r="D17" s="8">
        <v>-5.6739829498119398E-2</v>
      </c>
      <c r="E17" s="9">
        <v>0.177700764730229</v>
      </c>
      <c r="F17" s="9">
        <v>-0.31929986111346798</v>
      </c>
      <c r="G17" s="9">
        <v>0.74949913799108803</v>
      </c>
      <c r="H17" s="10" t="s">
        <v>29</v>
      </c>
      <c r="J17" s="10">
        <v>7</v>
      </c>
      <c r="K17" s="10" t="s">
        <v>53</v>
      </c>
      <c r="L17" s="8">
        <v>-5.6739829498119398E-2</v>
      </c>
      <c r="M17" s="9">
        <v>0.177700764730229</v>
      </c>
      <c r="N17" s="9">
        <v>-0.31929986111346798</v>
      </c>
      <c r="O17" s="9">
        <v>0.74949913799108803</v>
      </c>
      <c r="P17" s="10" t="s">
        <v>29</v>
      </c>
    </row>
    <row r="18" spans="2:16" x14ac:dyDescent="0.2">
      <c r="B18" s="10">
        <v>8</v>
      </c>
      <c r="C18" s="10" t="s">
        <v>40</v>
      </c>
      <c r="D18" s="8">
        <v>-0.85630055164653696</v>
      </c>
      <c r="E18" s="9">
        <v>0.28810963086465502</v>
      </c>
      <c r="F18" s="9">
        <v>-2.9721344235410099</v>
      </c>
      <c r="G18" s="9">
        <v>2.95737170882426E-3</v>
      </c>
      <c r="H18" s="10" t="s">
        <v>29</v>
      </c>
      <c r="J18" s="10">
        <v>8</v>
      </c>
      <c r="K18" s="10" t="s">
        <v>54</v>
      </c>
      <c r="L18" s="8">
        <v>-0.85630055164653696</v>
      </c>
      <c r="M18" s="9">
        <v>0.28810963086465502</v>
      </c>
      <c r="N18" s="9">
        <v>-2.9721344235410099</v>
      </c>
      <c r="O18" s="9">
        <v>2.95737170882426E-3</v>
      </c>
      <c r="P18" s="10" t="s">
        <v>29</v>
      </c>
    </row>
    <row r="19" spans="2:16" x14ac:dyDescent="0.2">
      <c r="B19" s="19">
        <v>9</v>
      </c>
      <c r="C19" s="19" t="s">
        <v>41</v>
      </c>
      <c r="D19" s="23">
        <v>-0.59907569319889098</v>
      </c>
      <c r="E19" s="18">
        <v>0.17823911872845799</v>
      </c>
      <c r="F19" s="18">
        <v>-3.36107863118175</v>
      </c>
      <c r="G19" s="18">
        <v>7.7638719423056503E-4</v>
      </c>
      <c r="H19" s="19" t="s">
        <v>29</v>
      </c>
      <c r="J19" s="19">
        <v>9</v>
      </c>
      <c r="K19" s="19" t="s">
        <v>55</v>
      </c>
      <c r="L19" s="23">
        <v>-0.59907569319889098</v>
      </c>
      <c r="M19" s="18">
        <v>0.17823911872845799</v>
      </c>
      <c r="N19" s="18">
        <v>-3.36107863118175</v>
      </c>
      <c r="O19" s="18">
        <v>7.7638719423056503E-4</v>
      </c>
      <c r="P19" s="19" t="s">
        <v>29</v>
      </c>
    </row>
    <row r="20" spans="2:16" x14ac:dyDescent="0.2">
      <c r="B20" s="28" t="s">
        <v>43</v>
      </c>
      <c r="C20" s="28"/>
      <c r="D20" s="28"/>
      <c r="E20" s="28"/>
      <c r="F20" s="28"/>
      <c r="G20" s="28"/>
      <c r="H20" s="28"/>
      <c r="J20" s="28" t="s">
        <v>43</v>
      </c>
      <c r="K20" s="28"/>
      <c r="L20" s="28"/>
      <c r="M20" s="28"/>
      <c r="N20" s="28"/>
      <c r="O20" s="28"/>
      <c r="P20" s="28"/>
    </row>
    <row r="21" spans="2:16" x14ac:dyDescent="0.2">
      <c r="B21" t="s">
        <v>69</v>
      </c>
      <c r="C21">
        <v>10</v>
      </c>
      <c r="J21" t="s">
        <v>69</v>
      </c>
      <c r="K21">
        <v>10</v>
      </c>
      <c r="L21" s="12"/>
      <c r="M21" s="12"/>
      <c r="N21" s="12"/>
      <c r="O21" s="12"/>
    </row>
    <row r="22" spans="2:16" x14ac:dyDescent="0.2">
      <c r="B22" t="s">
        <v>70</v>
      </c>
      <c r="C22">
        <v>115</v>
      </c>
      <c r="J22" t="s">
        <v>70</v>
      </c>
      <c r="K22">
        <v>115</v>
      </c>
      <c r="L22" s="12"/>
      <c r="M22" s="12"/>
      <c r="N22" s="12"/>
      <c r="O22" s="12"/>
    </row>
    <row r="23" spans="2:16" x14ac:dyDescent="0.2">
      <c r="B23" t="s">
        <v>71</v>
      </c>
      <c r="C23" s="20">
        <v>-264.79730000000001</v>
      </c>
      <c r="J23" t="s">
        <v>71</v>
      </c>
      <c r="K23" s="20">
        <v>-264.79730000000001</v>
      </c>
      <c r="L23" s="12"/>
      <c r="M23" s="12"/>
      <c r="N23" s="12"/>
      <c r="O23" s="12"/>
    </row>
    <row r="24" spans="2:16" x14ac:dyDescent="0.2">
      <c r="B24" t="s">
        <v>72</v>
      </c>
      <c r="C24" s="20">
        <v>-93.931430000000006</v>
      </c>
      <c r="J24" t="s">
        <v>72</v>
      </c>
      <c r="K24" s="20">
        <v>-93.931430000000006</v>
      </c>
      <c r="L24" s="12"/>
      <c r="M24" s="12"/>
      <c r="N24" s="12"/>
      <c r="O24" s="12"/>
    </row>
    <row r="25" spans="2:16" x14ac:dyDescent="0.2">
      <c r="B25" t="s">
        <v>73</v>
      </c>
      <c r="C25" s="20">
        <f>-2*(C23-C24)</f>
        <v>341.73174</v>
      </c>
      <c r="J25" t="s">
        <v>73</v>
      </c>
      <c r="K25" s="20">
        <f>-2*(K23-K24)</f>
        <v>341.73174</v>
      </c>
      <c r="L25" s="12"/>
      <c r="M25" s="12"/>
      <c r="N25" s="12"/>
      <c r="O25" s="12"/>
    </row>
    <row r="26" spans="2:16" x14ac:dyDescent="0.2">
      <c r="B26" t="s">
        <v>74</v>
      </c>
      <c r="C26" s="20">
        <v>297.86290000000002</v>
      </c>
      <c r="J26" t="s">
        <v>74</v>
      </c>
      <c r="K26" s="20">
        <v>207.8629</v>
      </c>
    </row>
    <row r="27" spans="2:16" x14ac:dyDescent="0.2">
      <c r="B27" t="s">
        <v>75</v>
      </c>
      <c r="C27" s="20">
        <v>235.31219999999999</v>
      </c>
      <c r="J27" t="s">
        <v>75</v>
      </c>
      <c r="K27" s="20">
        <v>235.31219999999999</v>
      </c>
    </row>
    <row r="29" spans="2:16" x14ac:dyDescent="0.2">
      <c r="B29" s="29" t="s">
        <v>78</v>
      </c>
      <c r="C29" s="29"/>
      <c r="D29" s="29"/>
      <c r="E29" s="29"/>
      <c r="F29" s="29"/>
      <c r="G29" s="29"/>
      <c r="H29" s="29"/>
    </row>
    <row r="30" spans="2:16" x14ac:dyDescent="0.2">
      <c r="B30" s="1" t="s">
        <v>68</v>
      </c>
      <c r="C30" s="1"/>
      <c r="D30" s="1"/>
      <c r="E30" s="1"/>
      <c r="F30" s="1"/>
      <c r="G30" s="1"/>
      <c r="H30" s="1"/>
    </row>
    <row r="32" spans="2:16" x14ac:dyDescent="0.2">
      <c r="B32" t="s">
        <v>64</v>
      </c>
      <c r="C32">
        <f>K21-C21</f>
        <v>0</v>
      </c>
    </row>
    <row r="33" spans="2:16" x14ac:dyDescent="0.2">
      <c r="B33" t="s">
        <v>65</v>
      </c>
      <c r="C33" s="20">
        <f>-2*(C24-K24)</f>
        <v>0</v>
      </c>
      <c r="J33" s="14"/>
      <c r="K33" s="14"/>
      <c r="L33" s="14"/>
      <c r="M33" s="14"/>
      <c r="N33" s="14"/>
      <c r="O33" s="14"/>
      <c r="P33" s="14"/>
    </row>
    <row r="34" spans="2:16" ht="20" x14ac:dyDescent="0.25">
      <c r="B34" t="s">
        <v>66</v>
      </c>
      <c r="C34" s="2" t="s">
        <v>85</v>
      </c>
      <c r="D34" s="16" t="s">
        <v>7</v>
      </c>
      <c r="E34" s="27" t="str">
        <f>IF(C33&lt;C34,"H0 cannot be rejected","H0 rejected")</f>
        <v>H0 cannot be rejected</v>
      </c>
      <c r="F34" s="27"/>
      <c r="G34" s="27"/>
      <c r="H34" s="27"/>
      <c r="J34" s="1"/>
      <c r="K34" s="1"/>
      <c r="L34" s="1"/>
      <c r="M34" s="1"/>
      <c r="N34" s="1"/>
      <c r="O34" s="1"/>
      <c r="P34" s="1"/>
    </row>
    <row r="38" spans="2:16" x14ac:dyDescent="0.2">
      <c r="L38" s="3"/>
      <c r="M38" s="25"/>
      <c r="N38" s="24"/>
      <c r="O38" s="24"/>
      <c r="P38" s="24"/>
    </row>
  </sheetData>
  <mergeCells count="6">
    <mergeCell ref="B20:H20"/>
    <mergeCell ref="B29:H29"/>
    <mergeCell ref="E34:H34"/>
    <mergeCell ref="J20:P20"/>
    <mergeCell ref="B8:H8"/>
    <mergeCell ref="J8:P8"/>
  </mergeCells>
  <conditionalFormatting sqref="E34:H34">
    <cfRule type="cellIs" dxfId="49" priority="3" operator="equal">
      <formula>"H0 cannot be rejected"</formula>
    </cfRule>
    <cfRule type="cellIs" dxfId="48" priority="4" operator="equal">
      <formula>"H0 rejected"</formula>
    </cfRule>
  </conditionalFormatting>
  <conditionalFormatting sqref="M38:P38">
    <cfRule type="cellIs" dxfId="47" priority="1" operator="equal">
      <formula>"H0 cannot be rejected"</formula>
    </cfRule>
    <cfRule type="cellIs" dxfId="46" priority="2" operator="equal">
      <formula>"H0 rejected"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33FAB-5D0A-FD41-AF56-0F6789C1D748}">
  <sheetPr>
    <tabColor rgb="FF92D050"/>
  </sheetPr>
  <dimension ref="B2:X42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21" t="s">
        <v>14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2:24" x14ac:dyDescent="0.2">
      <c r="B4" s="19" t="s">
        <v>76</v>
      </c>
      <c r="C4" s="19" t="s">
        <v>77</v>
      </c>
      <c r="D4" s="2"/>
      <c r="E4" s="2"/>
      <c r="F4" s="2"/>
    </row>
    <row r="5" spans="2:24" x14ac:dyDescent="0.2">
      <c r="B5" s="10" t="s">
        <v>0</v>
      </c>
      <c r="C5" s="5" t="s">
        <v>5</v>
      </c>
      <c r="D5" s="2"/>
      <c r="E5" s="2"/>
      <c r="F5" s="2"/>
    </row>
    <row r="6" spans="2:24" x14ac:dyDescent="0.2">
      <c r="B6" s="10" t="s">
        <v>1</v>
      </c>
      <c r="C6" s="5" t="s">
        <v>5</v>
      </c>
      <c r="D6" s="2"/>
      <c r="E6" s="2"/>
      <c r="F6" s="2"/>
    </row>
    <row r="7" spans="2:24" x14ac:dyDescent="0.2">
      <c r="B7" s="10" t="s">
        <v>2</v>
      </c>
      <c r="C7" s="5" t="s">
        <v>5</v>
      </c>
      <c r="D7" s="2"/>
      <c r="E7" s="2"/>
      <c r="F7" s="2"/>
    </row>
    <row r="8" spans="2:24" x14ac:dyDescent="0.2">
      <c r="B8" s="10" t="s">
        <v>3</v>
      </c>
      <c r="C8" s="5" t="s">
        <v>6</v>
      </c>
      <c r="D8" s="2"/>
      <c r="E8" s="2"/>
      <c r="F8" s="2"/>
    </row>
    <row r="10" spans="2:24" x14ac:dyDescent="0.2">
      <c r="B10" s="26" t="s">
        <v>94</v>
      </c>
      <c r="C10" s="26"/>
      <c r="D10" s="26"/>
      <c r="E10" s="26"/>
      <c r="F10" s="26"/>
      <c r="G10" s="26"/>
      <c r="H10" s="26"/>
      <c r="J10" s="26" t="s">
        <v>93</v>
      </c>
      <c r="K10" s="26"/>
      <c r="L10" s="26"/>
      <c r="M10" s="26"/>
      <c r="N10" s="26"/>
      <c r="O10" s="26"/>
      <c r="P10" s="26"/>
      <c r="R10" s="26" t="s">
        <v>95</v>
      </c>
      <c r="S10" s="26"/>
      <c r="T10" s="26"/>
      <c r="U10" s="26"/>
      <c r="V10" s="26"/>
      <c r="W10" s="26"/>
      <c r="X10" s="26"/>
    </row>
    <row r="11" spans="2:24" x14ac:dyDescent="0.2">
      <c r="B11" s="11" t="s">
        <v>42</v>
      </c>
      <c r="C11" s="11" t="s">
        <v>22</v>
      </c>
      <c r="D11" s="13" t="s">
        <v>23</v>
      </c>
      <c r="E11" s="13" t="s">
        <v>24</v>
      </c>
      <c r="F11" s="13" t="s">
        <v>25</v>
      </c>
      <c r="G11" s="13" t="s">
        <v>26</v>
      </c>
      <c r="H11" s="11" t="s">
        <v>27</v>
      </c>
      <c r="J11" s="11" t="s">
        <v>42</v>
      </c>
      <c r="K11" s="11" t="s">
        <v>22</v>
      </c>
      <c r="L11" s="11" t="s">
        <v>23</v>
      </c>
      <c r="M11" s="11" t="s">
        <v>24</v>
      </c>
      <c r="N11" s="11" t="s">
        <v>25</v>
      </c>
      <c r="O11" s="11" t="s">
        <v>26</v>
      </c>
      <c r="P11" s="11" t="s">
        <v>27</v>
      </c>
      <c r="R11" s="11" t="s">
        <v>42</v>
      </c>
      <c r="S11" s="11" t="s">
        <v>22</v>
      </c>
      <c r="T11" s="11" t="s">
        <v>23</v>
      </c>
      <c r="U11" s="11" t="s">
        <v>24</v>
      </c>
      <c r="V11" s="11" t="s">
        <v>25</v>
      </c>
      <c r="W11" s="11" t="s">
        <v>26</v>
      </c>
      <c r="X11" s="11" t="s">
        <v>27</v>
      </c>
    </row>
    <row r="12" spans="2:24" x14ac:dyDescent="0.2">
      <c r="B12" s="10">
        <v>0</v>
      </c>
      <c r="C12" s="10" t="s">
        <v>28</v>
      </c>
      <c r="D12" s="8">
        <v>1.3288013849904801</v>
      </c>
      <c r="E12" s="9">
        <v>0.40432581214848601</v>
      </c>
      <c r="F12" s="9">
        <v>3.2864619202260901</v>
      </c>
      <c r="G12" s="9">
        <v>1.0145449016492E-3</v>
      </c>
      <c r="H12" s="10" t="s">
        <v>29</v>
      </c>
      <c r="J12" s="10">
        <v>0</v>
      </c>
      <c r="K12" s="10" t="s">
        <v>28</v>
      </c>
      <c r="L12" s="8">
        <v>1.0310395167494999</v>
      </c>
      <c r="M12" s="9">
        <v>0.41636205769316198</v>
      </c>
      <c r="N12" s="9">
        <v>2.4763051716622102</v>
      </c>
      <c r="O12" s="9">
        <v>1.32750055554031E-2</v>
      </c>
      <c r="P12" s="10" t="s">
        <v>29</v>
      </c>
      <c r="R12" s="10">
        <v>0</v>
      </c>
      <c r="S12" s="10" t="s">
        <v>28</v>
      </c>
      <c r="T12" s="8">
        <v>0.79784625994745595</v>
      </c>
      <c r="U12" s="9">
        <v>0.58200985767652302</v>
      </c>
      <c r="V12" s="9">
        <v>1.3708466436162801</v>
      </c>
      <c r="W12" s="9">
        <v>0.170422767134394</v>
      </c>
      <c r="X12" s="10" t="s">
        <v>29</v>
      </c>
    </row>
    <row r="13" spans="2:24" x14ac:dyDescent="0.2">
      <c r="B13" s="10">
        <v>1</v>
      </c>
      <c r="C13" s="10" t="s">
        <v>30</v>
      </c>
      <c r="D13" s="8">
        <v>-0.16365044023117201</v>
      </c>
      <c r="E13" s="9">
        <v>0.126447380032082</v>
      </c>
      <c r="F13" s="9">
        <v>-1.29421772273692</v>
      </c>
      <c r="G13" s="9">
        <v>0.19559022675224</v>
      </c>
      <c r="H13" s="10" t="s">
        <v>29</v>
      </c>
      <c r="J13" s="10">
        <v>1</v>
      </c>
      <c r="K13" s="10" t="s">
        <v>44</v>
      </c>
      <c r="L13" s="8">
        <v>-4.95875028291166E-2</v>
      </c>
      <c r="M13" s="9">
        <v>0.139241907515742</v>
      </c>
      <c r="N13" s="9">
        <v>-0.35612484570071201</v>
      </c>
      <c r="O13" s="9">
        <v>0.72174707120522497</v>
      </c>
      <c r="P13" s="10" t="s">
        <v>29</v>
      </c>
      <c r="R13" s="10">
        <v>1</v>
      </c>
      <c r="S13" s="10" t="s">
        <v>56</v>
      </c>
      <c r="T13" s="8">
        <v>-0.29818989909341098</v>
      </c>
      <c r="U13" s="9">
        <v>0.13440283087347499</v>
      </c>
      <c r="V13" s="9">
        <v>-2.2186281133774699</v>
      </c>
      <c r="W13" s="9">
        <v>2.6512035298606299E-2</v>
      </c>
      <c r="X13" s="10" t="s">
        <v>29</v>
      </c>
    </row>
    <row r="14" spans="2:24" x14ac:dyDescent="0.2">
      <c r="B14" s="10">
        <v>2</v>
      </c>
      <c r="C14" s="10" t="s">
        <v>32</v>
      </c>
      <c r="D14" s="8">
        <v>-0.223687441012516</v>
      </c>
      <c r="E14" s="9">
        <v>0.13320572060406499</v>
      </c>
      <c r="F14" s="9">
        <v>-1.6792630226249301</v>
      </c>
      <c r="G14" s="9">
        <v>9.3100794181025695E-2</v>
      </c>
      <c r="H14" s="10" t="s">
        <v>29</v>
      </c>
      <c r="J14" s="10">
        <v>2</v>
      </c>
      <c r="K14" s="10" t="s">
        <v>45</v>
      </c>
      <c r="L14" s="8">
        <v>-9.90831410074344E-2</v>
      </c>
      <c r="M14" s="9">
        <v>0.184233594718269</v>
      </c>
      <c r="N14" s="9">
        <v>-0.53781255888185098</v>
      </c>
      <c r="O14" s="9">
        <v>0.59070646068381905</v>
      </c>
      <c r="P14" s="10" t="s">
        <v>29</v>
      </c>
      <c r="R14" s="10">
        <v>2</v>
      </c>
      <c r="S14" s="10" t="s">
        <v>57</v>
      </c>
      <c r="T14" s="8">
        <v>-0.163760887768822</v>
      </c>
      <c r="U14" s="9">
        <v>0.43994862482059399</v>
      </c>
      <c r="V14" s="9">
        <v>-0.37222729775687302</v>
      </c>
      <c r="W14" s="9">
        <v>0.70972362332893502</v>
      </c>
      <c r="X14" s="10" t="s">
        <v>29</v>
      </c>
    </row>
    <row r="15" spans="2:24" x14ac:dyDescent="0.2">
      <c r="B15" s="10">
        <v>3</v>
      </c>
      <c r="C15" s="10" t="s">
        <v>33</v>
      </c>
      <c r="D15" s="7">
        <v>0</v>
      </c>
      <c r="E15" s="9">
        <v>0.36033861106489401</v>
      </c>
      <c r="F15" s="9">
        <v>0</v>
      </c>
      <c r="G15" s="9">
        <v>1</v>
      </c>
      <c r="H15" s="17" t="s">
        <v>31</v>
      </c>
      <c r="J15" s="10">
        <v>3</v>
      </c>
      <c r="K15" s="10" t="s">
        <v>46</v>
      </c>
      <c r="L15" s="7">
        <v>0</v>
      </c>
      <c r="M15" s="9">
        <v>0.29431463293833898</v>
      </c>
      <c r="N15" s="9">
        <v>0</v>
      </c>
      <c r="O15" s="9">
        <v>1</v>
      </c>
      <c r="P15" s="17" t="s">
        <v>31</v>
      </c>
      <c r="R15" s="10">
        <v>3</v>
      </c>
      <c r="S15" s="10" t="s">
        <v>58</v>
      </c>
      <c r="T15" s="7">
        <v>0</v>
      </c>
      <c r="U15" s="9">
        <v>0.34690045622938298</v>
      </c>
      <c r="V15" s="9">
        <v>0</v>
      </c>
      <c r="W15" s="9">
        <v>1</v>
      </c>
      <c r="X15" s="17" t="s">
        <v>31</v>
      </c>
    </row>
    <row r="16" spans="2:24" x14ac:dyDescent="0.2">
      <c r="B16" s="10">
        <v>4</v>
      </c>
      <c r="C16" s="10" t="s">
        <v>34</v>
      </c>
      <c r="D16" s="8">
        <v>-1.0273679943765801</v>
      </c>
      <c r="E16" s="9">
        <v>0.37809991829655298</v>
      </c>
      <c r="F16" s="9">
        <v>-2.71718650193093</v>
      </c>
      <c r="G16" s="9">
        <v>6.5839495803645598E-3</v>
      </c>
      <c r="H16" s="10" t="s">
        <v>29</v>
      </c>
      <c r="J16" s="10">
        <v>4</v>
      </c>
      <c r="K16" s="10" t="s">
        <v>47</v>
      </c>
      <c r="L16" s="8">
        <v>-0.89850476163552395</v>
      </c>
      <c r="M16" s="9">
        <v>0.33950853999668801</v>
      </c>
      <c r="N16" s="9">
        <v>-2.6464864820315999</v>
      </c>
      <c r="O16" s="9">
        <v>8.1332755823506596E-3</v>
      </c>
      <c r="P16" s="10" t="s">
        <v>29</v>
      </c>
      <c r="R16" s="10">
        <v>4</v>
      </c>
      <c r="S16" s="10" t="s">
        <v>59</v>
      </c>
      <c r="T16" s="8">
        <v>-0.46987998767063299</v>
      </c>
      <c r="U16" s="9">
        <v>0.25917988788329899</v>
      </c>
      <c r="V16" s="9">
        <v>-1.81294926665839</v>
      </c>
      <c r="W16" s="9">
        <v>6.9839646552870296E-2</v>
      </c>
      <c r="X16" s="10" t="s">
        <v>29</v>
      </c>
    </row>
    <row r="17" spans="2:24" x14ac:dyDescent="0.2">
      <c r="B17" s="10">
        <v>5</v>
      </c>
      <c r="C17" s="10" t="s">
        <v>35</v>
      </c>
      <c r="D17" s="8">
        <v>1.20795677664759</v>
      </c>
      <c r="E17" s="9">
        <v>0.37761795338144699</v>
      </c>
      <c r="F17" s="9">
        <v>3.19888597941579</v>
      </c>
      <c r="G17" s="9">
        <v>1.3795972006631599E-3</v>
      </c>
      <c r="H17" s="10" t="s">
        <v>29</v>
      </c>
      <c r="J17" s="10">
        <v>5</v>
      </c>
      <c r="K17" s="10" t="s">
        <v>35</v>
      </c>
      <c r="L17" s="8">
        <v>1.12195690776307</v>
      </c>
      <c r="M17" s="9">
        <v>0.40290181411234599</v>
      </c>
      <c r="N17" s="9">
        <v>2.7846906329645602</v>
      </c>
      <c r="O17" s="9">
        <v>5.3578815704427001E-3</v>
      </c>
      <c r="P17" s="10" t="s">
        <v>29</v>
      </c>
      <c r="R17" s="10">
        <v>5</v>
      </c>
      <c r="S17" s="10" t="s">
        <v>35</v>
      </c>
      <c r="T17" s="8">
        <v>1.6827726196463799</v>
      </c>
      <c r="U17" s="9">
        <v>0.58829968126593102</v>
      </c>
      <c r="V17" s="9">
        <v>2.8604003592613099</v>
      </c>
      <c r="W17" s="9">
        <v>4.2310648834984399E-3</v>
      </c>
      <c r="X17" s="10" t="s">
        <v>29</v>
      </c>
    </row>
    <row r="18" spans="2:24" x14ac:dyDescent="0.2">
      <c r="B18" s="10">
        <v>6</v>
      </c>
      <c r="C18" s="10" t="s">
        <v>36</v>
      </c>
      <c r="D18" s="8">
        <v>2.40023537553537E-2</v>
      </c>
      <c r="E18" s="9">
        <v>0.48688584592543799</v>
      </c>
      <c r="F18" s="9">
        <v>4.9297702852157801E-2</v>
      </c>
      <c r="G18" s="9">
        <v>0.96068205015230201</v>
      </c>
      <c r="H18" s="10" t="s">
        <v>29</v>
      </c>
      <c r="J18" s="10">
        <v>6</v>
      </c>
      <c r="K18" s="10" t="s">
        <v>36</v>
      </c>
      <c r="L18" s="8">
        <v>3.73579180491542</v>
      </c>
      <c r="M18" s="9">
        <v>0.99143041779489605</v>
      </c>
      <c r="N18" s="9">
        <v>3.7680826993632399</v>
      </c>
      <c r="O18" s="9">
        <v>1.6450620767805E-4</v>
      </c>
      <c r="P18" s="10" t="s">
        <v>29</v>
      </c>
      <c r="R18" s="10">
        <v>6</v>
      </c>
      <c r="S18" s="10" t="s">
        <v>60</v>
      </c>
      <c r="T18" s="7">
        <v>0</v>
      </c>
      <c r="U18" s="9">
        <v>0.31891436491261599</v>
      </c>
      <c r="V18" s="9">
        <v>0</v>
      </c>
      <c r="W18" s="9">
        <v>1</v>
      </c>
      <c r="X18" s="17" t="s">
        <v>31</v>
      </c>
    </row>
    <row r="19" spans="2:24" x14ac:dyDescent="0.2">
      <c r="B19" s="10">
        <v>7</v>
      </c>
      <c r="C19" s="10" t="s">
        <v>37</v>
      </c>
      <c r="D19" s="8">
        <v>2.1930847904890101</v>
      </c>
      <c r="E19" s="9">
        <v>0.77893905189310997</v>
      </c>
      <c r="F19" s="9">
        <v>2.8154767502784801</v>
      </c>
      <c r="G19" s="9">
        <v>4.8704920953317396E-3</v>
      </c>
      <c r="H19" s="10" t="s">
        <v>29</v>
      </c>
      <c r="J19" s="10">
        <v>7</v>
      </c>
      <c r="K19" s="10" t="s">
        <v>48</v>
      </c>
      <c r="L19" s="8">
        <v>-1.5164227230020799</v>
      </c>
      <c r="M19" s="9">
        <v>0.52315190595290095</v>
      </c>
      <c r="N19" s="9">
        <v>-2.89862792383405</v>
      </c>
      <c r="O19" s="9">
        <v>3.7479937924622601E-3</v>
      </c>
      <c r="P19" s="10" t="s">
        <v>29</v>
      </c>
      <c r="R19" s="10">
        <v>7</v>
      </c>
      <c r="S19" s="10" t="s">
        <v>61</v>
      </c>
      <c r="T19" s="8">
        <v>-8.6060584239508395E-2</v>
      </c>
      <c r="U19" s="9">
        <v>0.20777887419646501</v>
      </c>
      <c r="V19" s="9">
        <v>-0.41419313956881798</v>
      </c>
      <c r="W19" s="9">
        <v>0.67873266568111401</v>
      </c>
      <c r="X19" s="10" t="s">
        <v>29</v>
      </c>
    </row>
    <row r="20" spans="2:24" x14ac:dyDescent="0.2">
      <c r="B20" s="10">
        <v>8</v>
      </c>
      <c r="C20" s="10" t="s">
        <v>38</v>
      </c>
      <c r="D20" s="8">
        <v>-8.2099696730420599E-2</v>
      </c>
      <c r="E20" s="9">
        <v>0.39485987616582202</v>
      </c>
      <c r="F20" s="9">
        <v>-0.20792109223055699</v>
      </c>
      <c r="G20" s="9">
        <v>0.83529057983967903</v>
      </c>
      <c r="H20" s="10" t="s">
        <v>29</v>
      </c>
      <c r="J20" s="10">
        <v>8</v>
      </c>
      <c r="K20" s="10" t="s">
        <v>49</v>
      </c>
      <c r="L20" s="8">
        <v>-1.67901208755204</v>
      </c>
      <c r="M20" s="9">
        <v>0.435742188528779</v>
      </c>
      <c r="N20" s="9">
        <v>-3.8532236073375898</v>
      </c>
      <c r="O20" s="9">
        <v>1.16572839844453E-4</v>
      </c>
      <c r="P20" s="10" t="s">
        <v>29</v>
      </c>
      <c r="R20" s="10">
        <v>8</v>
      </c>
      <c r="S20" s="10" t="s">
        <v>62</v>
      </c>
      <c r="T20" s="7">
        <v>0</v>
      </c>
      <c r="U20" s="9">
        <v>1.3391204148577101</v>
      </c>
      <c r="V20" s="9">
        <v>0</v>
      </c>
      <c r="W20" s="9">
        <v>1</v>
      </c>
      <c r="X20" s="17" t="s">
        <v>31</v>
      </c>
    </row>
    <row r="21" spans="2:24" x14ac:dyDescent="0.2">
      <c r="B21" s="10">
        <v>9</v>
      </c>
      <c r="C21" s="10" t="s">
        <v>39</v>
      </c>
      <c r="D21" s="8">
        <v>-1.1915288038387</v>
      </c>
      <c r="E21" s="9">
        <v>0.44044065710114999</v>
      </c>
      <c r="F21" s="9">
        <v>-2.7053106579238002</v>
      </c>
      <c r="G21" s="9">
        <v>6.8240538383217402E-3</v>
      </c>
      <c r="H21" s="10" t="s">
        <v>29</v>
      </c>
      <c r="J21" s="10">
        <v>9</v>
      </c>
      <c r="K21" s="10" t="s">
        <v>50</v>
      </c>
      <c r="L21" s="8">
        <v>-2.23385231236115</v>
      </c>
      <c r="M21" s="9">
        <v>2.2799559356939101</v>
      </c>
      <c r="N21" s="9">
        <v>-0.97977872176782999</v>
      </c>
      <c r="O21" s="9">
        <v>0.32719535763395802</v>
      </c>
      <c r="P21" s="10" t="s">
        <v>29</v>
      </c>
      <c r="R21" s="10">
        <v>9</v>
      </c>
      <c r="S21" s="10" t="s">
        <v>63</v>
      </c>
      <c r="T21" s="8">
        <v>-2.04575614064666</v>
      </c>
      <c r="U21" s="9">
        <v>0.56244217462468804</v>
      </c>
      <c r="V21" s="9">
        <v>-3.6372737197593201</v>
      </c>
      <c r="W21" s="9">
        <v>2.7553907350941198E-4</v>
      </c>
      <c r="X21" s="10" t="s">
        <v>29</v>
      </c>
    </row>
    <row r="22" spans="2:24" x14ac:dyDescent="0.2">
      <c r="B22" s="10">
        <v>10</v>
      </c>
      <c r="C22" s="10" t="s">
        <v>40</v>
      </c>
      <c r="D22" s="8">
        <v>-0.18071866467698</v>
      </c>
      <c r="E22" s="9">
        <v>1.1188647925867099</v>
      </c>
      <c r="F22" s="9">
        <v>-0.16151966338950999</v>
      </c>
      <c r="G22" s="9">
        <v>0.871684125541762</v>
      </c>
      <c r="H22" s="10" t="s">
        <v>29</v>
      </c>
      <c r="J22" s="10">
        <v>10</v>
      </c>
      <c r="K22" s="10" t="s">
        <v>51</v>
      </c>
      <c r="L22" s="8">
        <v>-5.3401677732816699</v>
      </c>
      <c r="M22" s="9">
        <v>2.6844573553726199</v>
      </c>
      <c r="N22" s="9">
        <v>-1.9892913413558</v>
      </c>
      <c r="O22" s="9">
        <v>4.6669054844646597E-2</v>
      </c>
      <c r="P22" s="10" t="s">
        <v>29</v>
      </c>
      <c r="R22" s="10">
        <v>10</v>
      </c>
      <c r="S22" s="10" t="s">
        <v>36</v>
      </c>
      <c r="T22" s="8">
        <v>4.2482509760874896</v>
      </c>
      <c r="U22" s="9">
        <v>1.1025097958602199</v>
      </c>
      <c r="V22" s="9">
        <v>3.8532546305158499</v>
      </c>
      <c r="W22" s="9">
        <v>1.16558064310767E-4</v>
      </c>
      <c r="X22" s="10" t="s">
        <v>29</v>
      </c>
    </row>
    <row r="23" spans="2:24" x14ac:dyDescent="0.2">
      <c r="B23" s="19">
        <v>11</v>
      </c>
      <c r="C23" s="19" t="s">
        <v>41</v>
      </c>
      <c r="D23" s="23">
        <v>-3.3017735501082899</v>
      </c>
      <c r="E23" s="18">
        <v>0.83826077794309095</v>
      </c>
      <c r="F23" s="18">
        <v>-3.9388381718277801</v>
      </c>
      <c r="G23" s="18">
        <v>8.18771299377907E-5</v>
      </c>
      <c r="H23" s="19" t="s">
        <v>29</v>
      </c>
      <c r="J23" s="10">
        <v>11</v>
      </c>
      <c r="K23" s="10" t="s">
        <v>37</v>
      </c>
      <c r="L23" s="8">
        <v>2.3129178877035002</v>
      </c>
      <c r="M23" s="9">
        <v>0.72723900064477198</v>
      </c>
      <c r="N23" s="9">
        <v>3.1804095842671498</v>
      </c>
      <c r="O23" s="9">
        <v>1.47067024807179E-3</v>
      </c>
      <c r="P23" s="10" t="s">
        <v>29</v>
      </c>
      <c r="R23" s="10">
        <v>11</v>
      </c>
      <c r="S23" s="10" t="s">
        <v>48</v>
      </c>
      <c r="T23" s="8">
        <v>-1.90346729909209</v>
      </c>
      <c r="U23" s="9">
        <v>0.63522078447028196</v>
      </c>
      <c r="V23" s="9">
        <v>-2.99654442302201</v>
      </c>
      <c r="W23" s="9">
        <v>2.7305845008200802E-3</v>
      </c>
      <c r="X23" s="10" t="s">
        <v>29</v>
      </c>
    </row>
    <row r="24" spans="2:24" x14ac:dyDescent="0.2">
      <c r="B24" s="28" t="s">
        <v>43</v>
      </c>
      <c r="C24" s="28"/>
      <c r="D24" s="28"/>
      <c r="E24" s="28"/>
      <c r="F24" s="28"/>
      <c r="G24" s="28"/>
      <c r="H24" s="28"/>
      <c r="J24" s="10">
        <v>12</v>
      </c>
      <c r="K24" s="10" t="s">
        <v>52</v>
      </c>
      <c r="L24" s="8">
        <v>-0.11269484267605499</v>
      </c>
      <c r="M24" s="9">
        <v>0.37403313089671902</v>
      </c>
      <c r="N24" s="9">
        <v>-0.30129641833031401</v>
      </c>
      <c r="O24" s="9">
        <v>0.76318847186384997</v>
      </c>
      <c r="P24" s="10" t="s">
        <v>29</v>
      </c>
      <c r="R24" s="10">
        <v>12</v>
      </c>
      <c r="S24" s="10" t="s">
        <v>49</v>
      </c>
      <c r="T24" s="8">
        <v>-2.0309403807714999</v>
      </c>
      <c r="U24" s="9">
        <v>0.48747305491225801</v>
      </c>
      <c r="V24" s="9">
        <v>-4.1662618278194996</v>
      </c>
      <c r="W24" s="9">
        <v>3.0963506261638603E-5</v>
      </c>
      <c r="X24" s="10" t="s">
        <v>29</v>
      </c>
    </row>
    <row r="25" spans="2:24" x14ac:dyDescent="0.2">
      <c r="B25" t="s">
        <v>69</v>
      </c>
      <c r="C25">
        <v>12</v>
      </c>
      <c r="J25" s="10">
        <v>13</v>
      </c>
      <c r="K25" s="10" t="s">
        <v>53</v>
      </c>
      <c r="L25" s="8">
        <v>-1.09524416535783</v>
      </c>
      <c r="M25" s="9">
        <v>0.36629816708210799</v>
      </c>
      <c r="N25" s="9">
        <v>-2.9900345231930401</v>
      </c>
      <c r="O25" s="9">
        <v>2.7894591807244799E-3</v>
      </c>
      <c r="P25" s="10" t="s">
        <v>29</v>
      </c>
      <c r="R25" s="10">
        <v>13</v>
      </c>
      <c r="S25" s="10" t="s">
        <v>50</v>
      </c>
      <c r="T25" s="8">
        <v>-2.9581178279782701</v>
      </c>
      <c r="U25" s="9">
        <v>2.68641870148058</v>
      </c>
      <c r="V25" s="9">
        <v>-1.10113804164181</v>
      </c>
      <c r="W25" s="9">
        <v>0.270836582535464</v>
      </c>
      <c r="X25" s="10" t="s">
        <v>29</v>
      </c>
    </row>
    <row r="26" spans="2:24" x14ac:dyDescent="0.2">
      <c r="B26" t="s">
        <v>70</v>
      </c>
      <c r="C26">
        <v>95</v>
      </c>
      <c r="J26" s="10">
        <v>14</v>
      </c>
      <c r="K26" s="10" t="s">
        <v>54</v>
      </c>
      <c r="L26" s="7">
        <v>0</v>
      </c>
      <c r="M26" s="9">
        <v>1.37354122799758</v>
      </c>
      <c r="N26" s="9">
        <v>0</v>
      </c>
      <c r="O26" s="9">
        <v>1</v>
      </c>
      <c r="P26" s="17" t="s">
        <v>31</v>
      </c>
      <c r="R26" s="10">
        <v>14</v>
      </c>
      <c r="S26" s="10" t="s">
        <v>51</v>
      </c>
      <c r="T26" s="8">
        <v>-5.3620070516894396</v>
      </c>
      <c r="U26" s="9">
        <v>2.7657036922097999</v>
      </c>
      <c r="V26" s="9">
        <v>-1.93874964508768</v>
      </c>
      <c r="W26" s="9">
        <v>5.2531830344376598E-2</v>
      </c>
      <c r="X26" s="10" t="s">
        <v>29</v>
      </c>
    </row>
    <row r="27" spans="2:24" x14ac:dyDescent="0.2">
      <c r="B27" t="s">
        <v>71</v>
      </c>
      <c r="C27" s="20">
        <v>-218.7456</v>
      </c>
      <c r="J27" s="19">
        <v>15</v>
      </c>
      <c r="K27" s="19" t="s">
        <v>55</v>
      </c>
      <c r="L27" s="23">
        <v>-3.4255221105515599</v>
      </c>
      <c r="M27" s="18">
        <v>0.73134965128500795</v>
      </c>
      <c r="N27" s="18">
        <v>-4.6838363900670403</v>
      </c>
      <c r="O27" s="18">
        <v>2.8155477598268398E-6</v>
      </c>
      <c r="P27" s="19" t="s">
        <v>29</v>
      </c>
      <c r="R27" s="10">
        <v>15</v>
      </c>
      <c r="S27" s="10" t="s">
        <v>37</v>
      </c>
      <c r="T27" s="8">
        <v>2.2935896285810999</v>
      </c>
      <c r="U27" s="9">
        <v>0.767306264607581</v>
      </c>
      <c r="V27" s="9">
        <v>2.9891449273571302</v>
      </c>
      <c r="W27" s="9">
        <v>2.7975939940147999E-3</v>
      </c>
      <c r="X27" s="10" t="s">
        <v>29</v>
      </c>
    </row>
    <row r="28" spans="2:24" x14ac:dyDescent="0.2">
      <c r="B28" t="s">
        <v>72</v>
      </c>
      <c r="C28" s="20">
        <v>-92.279290000000003</v>
      </c>
      <c r="J28" s="28" t="s">
        <v>43</v>
      </c>
      <c r="K28" s="28"/>
      <c r="L28" s="28"/>
      <c r="M28" s="28"/>
      <c r="N28" s="28"/>
      <c r="O28" s="28"/>
      <c r="P28" s="28"/>
      <c r="R28" s="10">
        <v>16</v>
      </c>
      <c r="S28" s="10" t="s">
        <v>52</v>
      </c>
      <c r="T28" s="8">
        <v>-0.14185183909115401</v>
      </c>
      <c r="U28" s="9">
        <v>0.40137059171220602</v>
      </c>
      <c r="V28" s="9">
        <v>-0.353418616162257</v>
      </c>
      <c r="W28" s="9">
        <v>0.72377463149375298</v>
      </c>
      <c r="X28" s="10" t="s">
        <v>29</v>
      </c>
    </row>
    <row r="29" spans="2:24" x14ac:dyDescent="0.2">
      <c r="B29" t="s">
        <v>73</v>
      </c>
      <c r="C29" s="20">
        <f>-2*(C27-C28)</f>
        <v>252.93261999999999</v>
      </c>
      <c r="J29" t="s">
        <v>69</v>
      </c>
      <c r="K29">
        <v>16</v>
      </c>
      <c r="L29" s="12"/>
      <c r="M29" s="12"/>
      <c r="N29" s="12"/>
      <c r="O29" s="12"/>
      <c r="R29" s="10">
        <v>17</v>
      </c>
      <c r="S29" s="10" t="s">
        <v>53</v>
      </c>
      <c r="T29" s="8">
        <v>-1.2041758294703899</v>
      </c>
      <c r="U29" s="9">
        <v>0.45467544646055202</v>
      </c>
      <c r="V29" s="9">
        <v>-2.6484294211274699</v>
      </c>
      <c r="W29" s="9">
        <v>8.0866732824824705E-3</v>
      </c>
      <c r="X29" s="10" t="s">
        <v>29</v>
      </c>
    </row>
    <row r="30" spans="2:24" x14ac:dyDescent="0.2">
      <c r="B30" t="s">
        <v>74</v>
      </c>
      <c r="C30" s="20">
        <v>208.55860000000001</v>
      </c>
      <c r="J30" t="s">
        <v>70</v>
      </c>
      <c r="K30">
        <v>95</v>
      </c>
      <c r="L30" s="12"/>
      <c r="M30" s="12"/>
      <c r="N30" s="12"/>
      <c r="O30" s="12"/>
      <c r="R30" s="10">
        <v>18</v>
      </c>
      <c r="S30" s="10" t="s">
        <v>54</v>
      </c>
      <c r="T30" s="7">
        <v>0</v>
      </c>
      <c r="U30" s="9">
        <v>1.5872885134341901</v>
      </c>
      <c r="V30" s="9">
        <v>0</v>
      </c>
      <c r="W30" s="9">
        <v>1</v>
      </c>
      <c r="X30" s="17" t="s">
        <v>31</v>
      </c>
    </row>
    <row r="31" spans="2:24" x14ac:dyDescent="0.2">
      <c r="B31" t="s">
        <v>75</v>
      </c>
      <c r="C31" s="20">
        <v>239.20509999999999</v>
      </c>
      <c r="J31" t="s">
        <v>71</v>
      </c>
      <c r="K31" s="20">
        <v>-218.7456</v>
      </c>
      <c r="L31" s="12"/>
      <c r="M31" s="12"/>
      <c r="N31" s="12"/>
      <c r="O31" s="12"/>
      <c r="R31" s="10">
        <v>19</v>
      </c>
      <c r="S31" s="10" t="s">
        <v>55</v>
      </c>
      <c r="T31" s="8">
        <v>-3.6278998744950899</v>
      </c>
      <c r="U31" s="9">
        <v>1.02076011780209</v>
      </c>
      <c r="V31" s="9">
        <v>-3.5541160074971301</v>
      </c>
      <c r="W31" s="9">
        <v>3.7925188576592902E-4</v>
      </c>
      <c r="X31" s="10" t="s">
        <v>29</v>
      </c>
    </row>
    <row r="32" spans="2:24" x14ac:dyDescent="0.2">
      <c r="J32" t="s">
        <v>72</v>
      </c>
      <c r="K32" s="20">
        <v>-82.15343</v>
      </c>
      <c r="L32" s="12"/>
      <c r="M32" s="12"/>
      <c r="N32" s="12"/>
      <c r="O32" s="12"/>
      <c r="R32" s="28" t="s">
        <v>43</v>
      </c>
      <c r="S32" s="28"/>
      <c r="T32" s="28"/>
      <c r="U32" s="28"/>
      <c r="V32" s="28"/>
      <c r="W32" s="28"/>
      <c r="X32" s="28"/>
    </row>
    <row r="33" spans="2:19" x14ac:dyDescent="0.2">
      <c r="B33" s="29" t="s">
        <v>78</v>
      </c>
      <c r="C33" s="29"/>
      <c r="D33" s="29"/>
      <c r="E33" s="29"/>
      <c r="F33" s="29"/>
      <c r="G33" s="29"/>
      <c r="H33" s="29"/>
      <c r="J33" t="s">
        <v>73</v>
      </c>
      <c r="K33" s="20">
        <f>-2*(K31-K32)</f>
        <v>273.18434000000002</v>
      </c>
      <c r="L33" s="12"/>
      <c r="M33" s="12"/>
      <c r="N33" s="12"/>
      <c r="O33" s="12"/>
      <c r="R33" t="s">
        <v>69</v>
      </c>
      <c r="S33">
        <v>20</v>
      </c>
    </row>
    <row r="34" spans="2:19" x14ac:dyDescent="0.2">
      <c r="B34" s="1" t="s">
        <v>68</v>
      </c>
      <c r="C34" s="1"/>
      <c r="D34" s="1"/>
      <c r="E34" s="1"/>
      <c r="F34" s="1"/>
      <c r="G34" s="1"/>
      <c r="H34" s="1"/>
      <c r="J34" t="s">
        <v>74</v>
      </c>
      <c r="K34" s="20">
        <v>196.30680000000001</v>
      </c>
      <c r="R34" t="s">
        <v>70</v>
      </c>
      <c r="S34">
        <v>95</v>
      </c>
    </row>
    <row r="35" spans="2:19" x14ac:dyDescent="0.2">
      <c r="J35" t="s">
        <v>75</v>
      </c>
      <c r="K35" s="20">
        <v>237.16890000000001</v>
      </c>
      <c r="R35" t="s">
        <v>71</v>
      </c>
      <c r="S35" s="20">
        <v>-218.7456</v>
      </c>
    </row>
    <row r="36" spans="2:19" x14ac:dyDescent="0.2">
      <c r="B36" t="s">
        <v>64</v>
      </c>
      <c r="C36">
        <f>K29-C25</f>
        <v>4</v>
      </c>
      <c r="R36" t="s">
        <v>72</v>
      </c>
      <c r="S36" s="20">
        <v>-72.505240000000001</v>
      </c>
    </row>
    <row r="37" spans="2:19" x14ac:dyDescent="0.2">
      <c r="B37" t="s">
        <v>65</v>
      </c>
      <c r="C37" s="20">
        <f>-2*(C28-K32)</f>
        <v>20.251720000000006</v>
      </c>
      <c r="J37" s="29" t="s">
        <v>79</v>
      </c>
      <c r="K37" s="29"/>
      <c r="L37" s="29"/>
      <c r="M37" s="29"/>
      <c r="N37" s="29"/>
      <c r="O37" s="29"/>
      <c r="P37" s="29"/>
      <c r="R37" t="s">
        <v>73</v>
      </c>
      <c r="S37" s="20">
        <f>-2*(S35-S36)</f>
        <v>292.48072000000002</v>
      </c>
    </row>
    <row r="38" spans="2:19" ht="20" x14ac:dyDescent="0.25">
      <c r="B38" t="s">
        <v>66</v>
      </c>
      <c r="C38">
        <v>9.4879999999999995</v>
      </c>
      <c r="D38" s="16" t="s">
        <v>7</v>
      </c>
      <c r="E38" s="27" t="str">
        <f>IF(C37&lt;C38,"H0 cannot be rejected","H0 rejected")</f>
        <v>H0 rejected</v>
      </c>
      <c r="F38" s="27"/>
      <c r="G38" s="27"/>
      <c r="H38" s="27"/>
      <c r="J38" s="30" t="s">
        <v>67</v>
      </c>
      <c r="K38" s="30"/>
      <c r="L38" s="30"/>
      <c r="M38" s="30"/>
      <c r="N38" s="30"/>
      <c r="O38" s="30"/>
      <c r="P38" s="30"/>
      <c r="R38" t="s">
        <v>74</v>
      </c>
      <c r="S38" s="20">
        <v>185.01050000000001</v>
      </c>
    </row>
    <row r="39" spans="2:19" x14ac:dyDescent="0.2">
      <c r="R39" t="s">
        <v>75</v>
      </c>
      <c r="S39" s="20">
        <v>236.08799999999999</v>
      </c>
    </row>
    <row r="40" spans="2:19" x14ac:dyDescent="0.2">
      <c r="J40" t="s">
        <v>64</v>
      </c>
      <c r="K40">
        <f>COUNTA(S12:S31)-COUNTA(K12:K27)</f>
        <v>4</v>
      </c>
    </row>
    <row r="41" spans="2:19" x14ac:dyDescent="0.2">
      <c r="J41" t="s">
        <v>65</v>
      </c>
      <c r="K41" s="15">
        <f>-2*(K32-S36)</f>
        <v>19.296379999999999</v>
      </c>
    </row>
    <row r="42" spans="2:19" ht="20" x14ac:dyDescent="0.25">
      <c r="J42" t="s">
        <v>66</v>
      </c>
      <c r="K42">
        <v>9.4879999999999995</v>
      </c>
      <c r="L42" s="16" t="s">
        <v>7</v>
      </c>
      <c r="M42" s="27" t="str">
        <f>IF(K41&lt;K42,"H0 cannot be rejected","H0 rejected")</f>
        <v>H0 rejected</v>
      </c>
      <c r="N42" s="27"/>
      <c r="O42" s="27"/>
      <c r="P42" s="27"/>
    </row>
  </sheetData>
  <mergeCells count="11">
    <mergeCell ref="M42:P42"/>
    <mergeCell ref="B24:H24"/>
    <mergeCell ref="J28:P28"/>
    <mergeCell ref="R32:X32"/>
    <mergeCell ref="B33:H33"/>
    <mergeCell ref="J37:P37"/>
    <mergeCell ref="E38:H38"/>
    <mergeCell ref="J38:P38"/>
    <mergeCell ref="R10:X10"/>
    <mergeCell ref="B10:H10"/>
    <mergeCell ref="J10:P10"/>
  </mergeCells>
  <conditionalFormatting sqref="E38:H38">
    <cfRule type="cellIs" dxfId="43" priority="3" operator="equal">
      <formula>"H0 cannot be rejected"</formula>
    </cfRule>
    <cfRule type="cellIs" dxfId="42" priority="4" operator="equal">
      <formula>"H0 rejected"</formula>
    </cfRule>
  </conditionalFormatting>
  <conditionalFormatting sqref="M42:P42">
    <cfRule type="cellIs" dxfId="39" priority="1" operator="equal">
      <formula>"H0 cannot be rejected"</formula>
    </cfRule>
    <cfRule type="cellIs" dxfId="38" priority="2" operator="equal">
      <formula>"H0 rejected"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FA84-72F1-5D4F-9BCB-61EF9546BB2A}">
  <sheetPr>
    <tabColor rgb="FF92D050"/>
  </sheetPr>
  <dimension ref="B2:P40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21" t="s">
        <v>15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2:16" x14ac:dyDescent="0.2">
      <c r="B4" s="19" t="s">
        <v>76</v>
      </c>
      <c r="C4" s="19" t="s">
        <v>77</v>
      </c>
      <c r="D4" s="2"/>
      <c r="E4" s="2"/>
      <c r="F4" s="2"/>
    </row>
    <row r="5" spans="2:16" x14ac:dyDescent="0.2">
      <c r="B5" s="10" t="s">
        <v>0</v>
      </c>
      <c r="C5" s="5" t="s">
        <v>5</v>
      </c>
      <c r="D5" s="2"/>
      <c r="E5" s="2"/>
      <c r="F5" s="2"/>
    </row>
    <row r="6" spans="2:16" x14ac:dyDescent="0.2">
      <c r="B6" s="10" t="s">
        <v>11</v>
      </c>
      <c r="C6" s="5" t="s">
        <v>6</v>
      </c>
      <c r="D6" s="2"/>
      <c r="E6" s="2"/>
      <c r="F6" s="2"/>
    </row>
    <row r="7" spans="2:16" x14ac:dyDescent="0.2">
      <c r="B7" s="10" t="s">
        <v>3</v>
      </c>
      <c r="C7" s="5" t="s">
        <v>6</v>
      </c>
      <c r="D7" s="2"/>
      <c r="E7" s="2"/>
      <c r="F7" s="2"/>
    </row>
    <row r="9" spans="2:16" x14ac:dyDescent="0.2">
      <c r="B9" s="26" t="s">
        <v>94</v>
      </c>
      <c r="C9" s="26"/>
      <c r="D9" s="26"/>
      <c r="E9" s="26"/>
      <c r="F9" s="26"/>
      <c r="G9" s="26"/>
      <c r="H9" s="26"/>
      <c r="J9" s="26" t="s">
        <v>95</v>
      </c>
      <c r="K9" s="26"/>
      <c r="L9" s="26"/>
      <c r="M9" s="26"/>
      <c r="N9" s="26"/>
      <c r="O9" s="26"/>
      <c r="P9" s="26"/>
    </row>
    <row r="10" spans="2:16" x14ac:dyDescent="0.2">
      <c r="B10" s="11" t="s">
        <v>42</v>
      </c>
      <c r="C10" s="11" t="s">
        <v>22</v>
      </c>
      <c r="D10" s="13" t="s">
        <v>23</v>
      </c>
      <c r="E10" s="13" t="s">
        <v>24</v>
      </c>
      <c r="F10" s="13" t="s">
        <v>25</v>
      </c>
      <c r="G10" s="13" t="s">
        <v>26</v>
      </c>
      <c r="H10" s="11" t="s">
        <v>27</v>
      </c>
      <c r="J10" s="11" t="s">
        <v>42</v>
      </c>
      <c r="K10" s="11" t="s">
        <v>22</v>
      </c>
      <c r="L10" s="11" t="s">
        <v>23</v>
      </c>
      <c r="M10" s="11" t="s">
        <v>24</v>
      </c>
      <c r="N10" s="11" t="s">
        <v>25</v>
      </c>
      <c r="O10" s="11" t="s">
        <v>26</v>
      </c>
      <c r="P10" s="11" t="s">
        <v>27</v>
      </c>
    </row>
    <row r="11" spans="2:16" x14ac:dyDescent="0.2">
      <c r="B11" s="10">
        <v>0</v>
      </c>
      <c r="C11" s="10" t="s">
        <v>28</v>
      </c>
      <c r="D11" s="8">
        <v>1.32206765352642</v>
      </c>
      <c r="E11" s="9">
        <v>0.45492873127011302</v>
      </c>
      <c r="F11" s="9">
        <v>2.9060983900387001</v>
      </c>
      <c r="G11" s="9">
        <v>3.65966354088742E-3</v>
      </c>
      <c r="H11" s="10" t="s">
        <v>29</v>
      </c>
      <c r="J11" s="10">
        <v>0</v>
      </c>
      <c r="K11" s="10" t="s">
        <v>28</v>
      </c>
      <c r="L11" s="8">
        <v>0.99887610781061298</v>
      </c>
      <c r="M11" s="9">
        <v>0.46910377805587</v>
      </c>
      <c r="N11" s="9">
        <v>2.1293286358730699</v>
      </c>
      <c r="O11" s="9">
        <v>3.3227080204345498E-2</v>
      </c>
      <c r="P11" s="10" t="s">
        <v>29</v>
      </c>
    </row>
    <row r="12" spans="2:16" x14ac:dyDescent="0.2">
      <c r="B12" s="10">
        <v>1</v>
      </c>
      <c r="C12" s="10" t="s">
        <v>30</v>
      </c>
      <c r="D12" s="7">
        <v>0</v>
      </c>
      <c r="E12" s="9">
        <v>0.22701535654899899</v>
      </c>
      <c r="F12" s="9">
        <v>0</v>
      </c>
      <c r="G12" s="9">
        <v>1</v>
      </c>
      <c r="H12" s="17" t="s">
        <v>31</v>
      </c>
      <c r="J12" s="10">
        <v>1</v>
      </c>
      <c r="K12" s="10" t="s">
        <v>56</v>
      </c>
      <c r="L12" s="8">
        <v>-8.7832332182827093E-3</v>
      </c>
      <c r="M12" s="9">
        <v>0.244956362131176</v>
      </c>
      <c r="N12" s="9">
        <v>-3.5856318006466797E-2</v>
      </c>
      <c r="O12" s="9">
        <v>0.97139692663199495</v>
      </c>
      <c r="P12" s="10" t="s">
        <v>29</v>
      </c>
    </row>
    <row r="13" spans="2:16" x14ac:dyDescent="0.2">
      <c r="B13" s="10">
        <v>2</v>
      </c>
      <c r="C13" s="10" t="s">
        <v>32</v>
      </c>
      <c r="D13" s="8">
        <v>-0.117889898994976</v>
      </c>
      <c r="E13" s="9">
        <v>0.218058391037001</v>
      </c>
      <c r="F13" s="9">
        <v>-0.54063454487734997</v>
      </c>
      <c r="G13" s="9">
        <v>0.58875950243293096</v>
      </c>
      <c r="H13" s="10" t="s">
        <v>29</v>
      </c>
      <c r="J13" s="10">
        <v>2</v>
      </c>
      <c r="K13" s="10" t="s">
        <v>57</v>
      </c>
      <c r="L13" s="7">
        <v>0</v>
      </c>
      <c r="M13" s="9">
        <v>0.24114187952715799</v>
      </c>
      <c r="N13" s="9">
        <v>0</v>
      </c>
      <c r="O13" s="9">
        <v>1</v>
      </c>
      <c r="P13" s="17" t="s">
        <v>31</v>
      </c>
    </row>
    <row r="14" spans="2:16" x14ac:dyDescent="0.2">
      <c r="B14" s="10">
        <v>3</v>
      </c>
      <c r="C14" s="10" t="s">
        <v>33</v>
      </c>
      <c r="D14" s="8">
        <v>-13.6837822942957</v>
      </c>
      <c r="E14" s="9">
        <v>6.37412627247756</v>
      </c>
      <c r="F14" s="9">
        <v>-2.1467698801920601</v>
      </c>
      <c r="G14" s="9">
        <v>3.1811606340727799E-2</v>
      </c>
      <c r="H14" s="10" t="s">
        <v>29</v>
      </c>
      <c r="J14" s="10">
        <v>3</v>
      </c>
      <c r="K14" s="10" t="s">
        <v>58</v>
      </c>
      <c r="L14" s="8">
        <v>-16.261064393304</v>
      </c>
      <c r="M14" s="9">
        <v>5.5606850296776704</v>
      </c>
      <c r="N14" s="9">
        <v>-2.9242915767603801</v>
      </c>
      <c r="O14" s="9">
        <v>3.4524119215950601E-3</v>
      </c>
      <c r="P14" s="10" t="s">
        <v>29</v>
      </c>
    </row>
    <row r="15" spans="2:16" x14ac:dyDescent="0.2">
      <c r="B15" s="10">
        <v>4</v>
      </c>
      <c r="C15" s="10" t="s">
        <v>34</v>
      </c>
      <c r="D15" s="8">
        <v>-0.94606840382984503</v>
      </c>
      <c r="E15" s="9">
        <v>0.118056015089434</v>
      </c>
      <c r="F15" s="9">
        <v>-8.0137246976627203</v>
      </c>
      <c r="G15" s="9">
        <v>1.11022302462515E-15</v>
      </c>
      <c r="H15" s="10" t="s">
        <v>29</v>
      </c>
      <c r="J15" s="10">
        <v>4</v>
      </c>
      <c r="K15" s="10" t="s">
        <v>59</v>
      </c>
      <c r="L15" s="8">
        <v>-0.90721047899905405</v>
      </c>
      <c r="M15" s="9">
        <v>0.15094760695333301</v>
      </c>
      <c r="N15" s="9">
        <v>-6.0101017651742197</v>
      </c>
      <c r="O15" s="9">
        <v>1.8540691204549301E-9</v>
      </c>
      <c r="P15" s="10" t="s">
        <v>29</v>
      </c>
    </row>
    <row r="16" spans="2:16" x14ac:dyDescent="0.2">
      <c r="B16" s="10">
        <v>5</v>
      </c>
      <c r="C16" s="10" t="s">
        <v>80</v>
      </c>
      <c r="D16" s="8">
        <v>1.2497366209862399</v>
      </c>
      <c r="E16" s="9">
        <v>0.39558080993461398</v>
      </c>
      <c r="F16" s="9">
        <v>3.1592448106691799</v>
      </c>
      <c r="G16" s="9">
        <v>1.5817855852209199E-3</v>
      </c>
      <c r="H16" s="10" t="s">
        <v>29</v>
      </c>
      <c r="J16" s="10">
        <v>5</v>
      </c>
      <c r="K16" s="10" t="s">
        <v>80</v>
      </c>
      <c r="L16" s="8">
        <v>2.59251812379346</v>
      </c>
      <c r="M16" s="9">
        <v>0.63840801722671303</v>
      </c>
      <c r="N16" s="9">
        <v>4.0609109751715398</v>
      </c>
      <c r="O16" s="9">
        <v>4.8881609460149599E-5</v>
      </c>
      <c r="P16" s="10" t="s">
        <v>29</v>
      </c>
    </row>
    <row r="17" spans="2:16" x14ac:dyDescent="0.2">
      <c r="B17" s="10">
        <v>6</v>
      </c>
      <c r="C17" s="10" t="s">
        <v>38</v>
      </c>
      <c r="D17" s="7">
        <v>0</v>
      </c>
      <c r="E17" s="9">
        <v>0.19461078118686401</v>
      </c>
      <c r="F17" s="9">
        <v>0</v>
      </c>
      <c r="G17" s="9">
        <v>1</v>
      </c>
      <c r="H17" s="17" t="s">
        <v>31</v>
      </c>
      <c r="J17" s="10">
        <v>6</v>
      </c>
      <c r="K17" s="10" t="s">
        <v>81</v>
      </c>
      <c r="L17" s="7">
        <v>0</v>
      </c>
      <c r="M17" s="9">
        <v>0.33864989122639799</v>
      </c>
      <c r="N17" s="9">
        <v>0</v>
      </c>
      <c r="O17" s="9">
        <v>1</v>
      </c>
      <c r="P17" s="17" t="s">
        <v>31</v>
      </c>
    </row>
    <row r="18" spans="2:16" x14ac:dyDescent="0.2">
      <c r="B18" s="10">
        <v>7</v>
      </c>
      <c r="C18" s="10" t="s">
        <v>39</v>
      </c>
      <c r="D18" s="7">
        <v>0</v>
      </c>
      <c r="E18" s="9">
        <v>0.18547864175908599</v>
      </c>
      <c r="F18" s="9">
        <v>0</v>
      </c>
      <c r="G18" s="9">
        <v>1</v>
      </c>
      <c r="H18" s="17" t="s">
        <v>31</v>
      </c>
      <c r="J18" s="10">
        <v>7</v>
      </c>
      <c r="K18" s="10" t="s">
        <v>82</v>
      </c>
      <c r="L18" s="7">
        <v>0</v>
      </c>
      <c r="M18" s="9">
        <v>0.400616765552534</v>
      </c>
      <c r="N18" s="9">
        <v>0</v>
      </c>
      <c r="O18" s="9">
        <v>1</v>
      </c>
      <c r="P18" s="17" t="s">
        <v>31</v>
      </c>
    </row>
    <row r="19" spans="2:16" x14ac:dyDescent="0.2">
      <c r="B19" s="10">
        <v>8</v>
      </c>
      <c r="C19" s="10" t="s">
        <v>40</v>
      </c>
      <c r="D19" s="8">
        <v>-6.9023947605241998E-2</v>
      </c>
      <c r="E19" s="9">
        <v>0.19600558610126101</v>
      </c>
      <c r="F19" s="9">
        <v>-0.35215296144459002</v>
      </c>
      <c r="G19" s="9">
        <v>0.72472355151024304</v>
      </c>
      <c r="H19" s="10" t="s">
        <v>29</v>
      </c>
      <c r="J19" s="10">
        <v>8</v>
      </c>
      <c r="K19" s="10" t="s">
        <v>83</v>
      </c>
      <c r="L19" s="8">
        <v>-2.1013407481962099</v>
      </c>
      <c r="M19" s="9">
        <v>0.61538901332049301</v>
      </c>
      <c r="N19" s="9">
        <v>-3.4146543124939299</v>
      </c>
      <c r="O19" s="9">
        <v>6.3863006902486997E-4</v>
      </c>
      <c r="P19" s="10" t="s">
        <v>29</v>
      </c>
    </row>
    <row r="20" spans="2:16" x14ac:dyDescent="0.2">
      <c r="B20" s="10">
        <v>9</v>
      </c>
      <c r="C20" s="10" t="s">
        <v>41</v>
      </c>
      <c r="D20" s="8">
        <v>-0.32642530150827997</v>
      </c>
      <c r="E20" s="9">
        <v>8.6665794952098002E-2</v>
      </c>
      <c r="F20" s="9">
        <v>-3.7664836708496399</v>
      </c>
      <c r="G20" s="9">
        <v>1.6556290710201201E-4</v>
      </c>
      <c r="H20" s="10" t="s">
        <v>29</v>
      </c>
      <c r="J20" s="10">
        <v>9</v>
      </c>
      <c r="K20" s="10" t="s">
        <v>84</v>
      </c>
      <c r="L20" s="8">
        <v>-1.6225146879919099</v>
      </c>
      <c r="M20" s="9">
        <v>0.37816662019290098</v>
      </c>
      <c r="N20" s="9">
        <v>-4.2904756828201096</v>
      </c>
      <c r="O20" s="9">
        <v>1.7829080890541202E-5</v>
      </c>
      <c r="P20" s="10" t="s">
        <v>29</v>
      </c>
    </row>
    <row r="21" spans="2:16" x14ac:dyDescent="0.2">
      <c r="B21" s="19">
        <v>10</v>
      </c>
      <c r="C21" s="19" t="s">
        <v>37</v>
      </c>
      <c r="D21" s="23">
        <v>1.00439845531761</v>
      </c>
      <c r="E21" s="18">
        <v>0.36161752409754</v>
      </c>
      <c r="F21" s="18">
        <v>2.7775159896473598</v>
      </c>
      <c r="G21" s="18">
        <v>5.4776144915655803E-3</v>
      </c>
      <c r="H21" s="19" t="s">
        <v>29</v>
      </c>
      <c r="J21" s="10">
        <v>10</v>
      </c>
      <c r="K21" s="10" t="s">
        <v>37</v>
      </c>
      <c r="L21" s="8">
        <v>0.96848490830712997</v>
      </c>
      <c r="M21" s="9">
        <v>0.47576387919554403</v>
      </c>
      <c r="N21" s="9">
        <v>2.0356419447914198</v>
      </c>
      <c r="O21" s="9">
        <v>4.1786322647415997E-2</v>
      </c>
      <c r="P21" s="10" t="s">
        <v>29</v>
      </c>
    </row>
    <row r="22" spans="2:16" x14ac:dyDescent="0.2">
      <c r="B22" s="28" t="s">
        <v>43</v>
      </c>
      <c r="C22" s="28"/>
      <c r="D22" s="28"/>
      <c r="E22" s="28"/>
      <c r="F22" s="28"/>
      <c r="G22" s="28"/>
      <c r="H22" s="28"/>
      <c r="J22" s="10">
        <v>11</v>
      </c>
      <c r="K22" s="10" t="s">
        <v>52</v>
      </c>
      <c r="L22" s="7">
        <v>0</v>
      </c>
      <c r="M22" s="9">
        <v>0.20836453113140199</v>
      </c>
      <c r="N22" s="9">
        <v>0</v>
      </c>
      <c r="O22" s="9">
        <v>1</v>
      </c>
      <c r="P22" s="17" t="s">
        <v>31</v>
      </c>
    </row>
    <row r="23" spans="2:16" x14ac:dyDescent="0.2">
      <c r="B23" t="s">
        <v>69</v>
      </c>
      <c r="C23">
        <v>11</v>
      </c>
      <c r="J23" s="10">
        <v>12</v>
      </c>
      <c r="K23" s="10" t="s">
        <v>53</v>
      </c>
      <c r="L23" s="7">
        <v>0</v>
      </c>
      <c r="M23" s="9">
        <v>0.20238500264057699</v>
      </c>
      <c r="N23" s="9">
        <v>0</v>
      </c>
      <c r="O23" s="9">
        <v>1</v>
      </c>
      <c r="P23" s="17" t="s">
        <v>31</v>
      </c>
    </row>
    <row r="24" spans="2:16" x14ac:dyDescent="0.2">
      <c r="B24" t="s">
        <v>70</v>
      </c>
      <c r="C24">
        <v>85</v>
      </c>
      <c r="J24" s="10">
        <v>13</v>
      </c>
      <c r="K24" s="10" t="s">
        <v>54</v>
      </c>
      <c r="L24" s="7">
        <v>0</v>
      </c>
      <c r="M24" s="9">
        <v>0.29576995208470402</v>
      </c>
      <c r="N24" s="9">
        <v>0</v>
      </c>
      <c r="O24" s="9">
        <v>1</v>
      </c>
      <c r="P24" s="17" t="s">
        <v>31</v>
      </c>
    </row>
    <row r="25" spans="2:16" x14ac:dyDescent="0.2">
      <c r="B25" t="s">
        <v>71</v>
      </c>
      <c r="C25" s="20">
        <v>-195.71969999999999</v>
      </c>
      <c r="J25" s="19">
        <v>14</v>
      </c>
      <c r="K25" s="19" t="s">
        <v>55</v>
      </c>
      <c r="L25" s="23">
        <v>-0.16225743911656901</v>
      </c>
      <c r="M25" s="18">
        <v>8.4669263804369205E-2</v>
      </c>
      <c r="N25" s="18">
        <v>-1.916367661959</v>
      </c>
      <c r="O25" s="18">
        <v>5.5318313978248899E-2</v>
      </c>
      <c r="P25" s="19" t="s">
        <v>29</v>
      </c>
    </row>
    <row r="26" spans="2:16" x14ac:dyDescent="0.2">
      <c r="B26" t="s">
        <v>72</v>
      </c>
      <c r="C26" s="20">
        <v>-141.95429999999999</v>
      </c>
      <c r="J26" s="28" t="s">
        <v>43</v>
      </c>
      <c r="K26" s="28"/>
      <c r="L26" s="28"/>
      <c r="M26" s="28"/>
      <c r="N26" s="28"/>
      <c r="O26" s="28"/>
      <c r="P26" s="28"/>
    </row>
    <row r="27" spans="2:16" x14ac:dyDescent="0.2">
      <c r="B27" t="s">
        <v>73</v>
      </c>
      <c r="C27" s="20">
        <f>-2*(C25-C26)</f>
        <v>107.5308</v>
      </c>
      <c r="J27" t="s">
        <v>69</v>
      </c>
      <c r="K27">
        <v>15</v>
      </c>
      <c r="L27" s="12"/>
      <c r="M27" s="12"/>
      <c r="N27" s="12"/>
      <c r="O27" s="12"/>
    </row>
    <row r="28" spans="2:16" x14ac:dyDescent="0.2">
      <c r="B28" t="s">
        <v>74</v>
      </c>
      <c r="C28" s="20">
        <v>305.9085</v>
      </c>
      <c r="J28" t="s">
        <v>70</v>
      </c>
      <c r="K28">
        <v>85</v>
      </c>
      <c r="L28" s="12"/>
      <c r="M28" s="12"/>
      <c r="N28" s="12"/>
      <c r="O28" s="12"/>
    </row>
    <row r="29" spans="2:16" x14ac:dyDescent="0.2">
      <c r="B29" t="s">
        <v>75</v>
      </c>
      <c r="C29" s="20">
        <v>332.77769999999998</v>
      </c>
      <c r="J29" t="s">
        <v>71</v>
      </c>
      <c r="K29" s="20">
        <v>-195.71969999999999</v>
      </c>
      <c r="L29" s="12"/>
      <c r="M29" s="12"/>
      <c r="N29" s="12"/>
      <c r="O29" s="12"/>
    </row>
    <row r="30" spans="2:16" x14ac:dyDescent="0.2">
      <c r="J30" t="s">
        <v>72</v>
      </c>
      <c r="K30" s="20">
        <v>-116.0155</v>
      </c>
      <c r="L30" s="12"/>
      <c r="M30" s="12"/>
      <c r="N30" s="12"/>
      <c r="O30" s="12"/>
    </row>
    <row r="31" spans="2:16" x14ac:dyDescent="0.2">
      <c r="B31" s="29" t="s">
        <v>78</v>
      </c>
      <c r="C31" s="29"/>
      <c r="D31" s="29"/>
      <c r="E31" s="29"/>
      <c r="F31" s="29"/>
      <c r="G31" s="29"/>
      <c r="H31" s="29"/>
      <c r="J31" t="s">
        <v>73</v>
      </c>
      <c r="K31" s="20">
        <f>-2*(K29-K30)</f>
        <v>159.40839999999997</v>
      </c>
      <c r="L31" s="12"/>
      <c r="M31" s="12"/>
      <c r="N31" s="12"/>
      <c r="O31" s="12"/>
    </row>
    <row r="32" spans="2:16" x14ac:dyDescent="0.2">
      <c r="B32" s="1" t="s">
        <v>68</v>
      </c>
      <c r="C32" s="1"/>
      <c r="D32" s="1"/>
      <c r="E32" s="1"/>
      <c r="F32" s="1"/>
      <c r="G32" s="1"/>
      <c r="H32" s="1"/>
      <c r="J32" t="s">
        <v>74</v>
      </c>
      <c r="K32" s="20">
        <v>262.03100000000001</v>
      </c>
    </row>
    <row r="33" spans="2:16" x14ac:dyDescent="0.2">
      <c r="J33" t="s">
        <v>75</v>
      </c>
      <c r="K33" s="20">
        <v>298.67079999999999</v>
      </c>
    </row>
    <row r="34" spans="2:16" x14ac:dyDescent="0.2">
      <c r="B34" t="s">
        <v>64</v>
      </c>
      <c r="C34">
        <f>K27-C23</f>
        <v>4</v>
      </c>
    </row>
    <row r="35" spans="2:16" x14ac:dyDescent="0.2">
      <c r="B35" t="s">
        <v>65</v>
      </c>
      <c r="C35" s="20">
        <f>-2*(C26-K30)</f>
        <v>51.877599999999973</v>
      </c>
      <c r="J35" s="14"/>
      <c r="K35" s="14"/>
      <c r="L35" s="14"/>
      <c r="M35" s="14"/>
      <c r="N35" s="14"/>
      <c r="O35" s="14"/>
      <c r="P35" s="14"/>
    </row>
    <row r="36" spans="2:16" ht="20" x14ac:dyDescent="0.25">
      <c r="B36" t="s">
        <v>66</v>
      </c>
      <c r="C36">
        <v>9.4879999999999995</v>
      </c>
      <c r="D36" s="16" t="s">
        <v>7</v>
      </c>
      <c r="E36" s="27" t="str">
        <f>IF(C35&lt;C36,"H0 cannot be rejected","H0 rejected")</f>
        <v>H0 rejected</v>
      </c>
      <c r="F36" s="27"/>
      <c r="G36" s="27"/>
      <c r="H36" s="27"/>
      <c r="J36" s="1"/>
      <c r="K36" s="1"/>
      <c r="L36" s="1"/>
      <c r="M36" s="1"/>
      <c r="N36" s="1"/>
      <c r="O36" s="1"/>
      <c r="P36" s="1"/>
    </row>
    <row r="40" spans="2:16" x14ac:dyDescent="0.2">
      <c r="L40" s="3"/>
      <c r="M40" s="25"/>
      <c r="N40" s="24"/>
      <c r="O40" s="24"/>
      <c r="P40" s="24"/>
    </row>
  </sheetData>
  <mergeCells count="6">
    <mergeCell ref="B22:H22"/>
    <mergeCell ref="J26:P26"/>
    <mergeCell ref="B31:H31"/>
    <mergeCell ref="E36:H36"/>
    <mergeCell ref="B9:H9"/>
    <mergeCell ref="J9:P9"/>
  </mergeCells>
  <conditionalFormatting sqref="E36:H36">
    <cfRule type="cellIs" dxfId="35" priority="3" operator="equal">
      <formula>"H0 cannot be rejected"</formula>
    </cfRule>
    <cfRule type="cellIs" dxfId="34" priority="4" operator="equal">
      <formula>"H0 rejected"</formula>
    </cfRule>
  </conditionalFormatting>
  <conditionalFormatting sqref="M40:P40">
    <cfRule type="cellIs" dxfId="33" priority="1" operator="equal">
      <formula>"H0 cannot be rejected"</formula>
    </cfRule>
    <cfRule type="cellIs" dxfId="32" priority="2" operator="equal">
      <formula>"H0 rejected"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1E879-F416-4748-8F42-05E8BF3C1DB7}">
  <sheetPr>
    <tabColor rgb="FF00B0F0"/>
  </sheetPr>
  <dimension ref="B2:P38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21" t="s">
        <v>16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2:16" x14ac:dyDescent="0.2">
      <c r="B4" s="19" t="s">
        <v>76</v>
      </c>
      <c r="C4" s="19" t="s">
        <v>77</v>
      </c>
      <c r="D4" s="2"/>
      <c r="E4" s="2"/>
      <c r="F4" s="2"/>
    </row>
    <row r="5" spans="2:16" x14ac:dyDescent="0.2">
      <c r="B5" s="10" t="s">
        <v>2</v>
      </c>
      <c r="C5" s="5" t="s">
        <v>5</v>
      </c>
      <c r="D5" s="2"/>
      <c r="E5" s="2"/>
      <c r="F5" s="2"/>
    </row>
    <row r="6" spans="2:16" x14ac:dyDescent="0.2">
      <c r="B6" s="10" t="s">
        <v>91</v>
      </c>
      <c r="C6" s="5" t="s">
        <v>6</v>
      </c>
      <c r="D6" s="2"/>
      <c r="E6" s="2"/>
      <c r="F6" s="2"/>
    </row>
    <row r="8" spans="2:16" x14ac:dyDescent="0.2">
      <c r="B8" s="26" t="s">
        <v>94</v>
      </c>
      <c r="C8" s="26"/>
      <c r="D8" s="26"/>
      <c r="E8" s="26"/>
      <c r="F8" s="26"/>
      <c r="G8" s="26"/>
      <c r="H8" s="26"/>
      <c r="J8" s="26" t="s">
        <v>95</v>
      </c>
      <c r="K8" s="26"/>
      <c r="L8" s="26"/>
      <c r="M8" s="26"/>
      <c r="N8" s="26"/>
      <c r="O8" s="26"/>
      <c r="P8" s="26"/>
    </row>
    <row r="9" spans="2:16" x14ac:dyDescent="0.2">
      <c r="B9" s="11" t="s">
        <v>42</v>
      </c>
      <c r="C9" s="11" t="s">
        <v>22</v>
      </c>
      <c r="D9" s="13" t="s">
        <v>23</v>
      </c>
      <c r="E9" s="13" t="s">
        <v>24</v>
      </c>
      <c r="F9" s="13" t="s">
        <v>25</v>
      </c>
      <c r="G9" s="13" t="s">
        <v>26</v>
      </c>
      <c r="H9" s="11" t="s">
        <v>27</v>
      </c>
      <c r="J9" s="11" t="s">
        <v>42</v>
      </c>
      <c r="K9" s="11" t="s">
        <v>22</v>
      </c>
      <c r="L9" s="11" t="s">
        <v>23</v>
      </c>
      <c r="M9" s="11" t="s">
        <v>24</v>
      </c>
      <c r="N9" s="11" t="s">
        <v>25</v>
      </c>
      <c r="O9" s="11" t="s">
        <v>26</v>
      </c>
      <c r="P9" s="11" t="s">
        <v>27</v>
      </c>
    </row>
    <row r="10" spans="2:16" x14ac:dyDescent="0.2">
      <c r="B10" s="10">
        <v>0</v>
      </c>
      <c r="C10" s="10" t="s">
        <v>36</v>
      </c>
      <c r="D10" s="8">
        <v>3.0596870561777001</v>
      </c>
      <c r="E10" s="9">
        <v>0.60749328216730902</v>
      </c>
      <c r="F10" s="9">
        <v>5.0365775984581802</v>
      </c>
      <c r="G10" s="9">
        <v>4.7392903179677101E-7</v>
      </c>
      <c r="H10" s="10" t="s">
        <v>29</v>
      </c>
      <c r="J10" s="10">
        <v>0</v>
      </c>
      <c r="K10" s="10" t="s">
        <v>36</v>
      </c>
      <c r="L10" s="8">
        <v>3.0596870561777001</v>
      </c>
      <c r="M10" s="9">
        <v>0.60749328216730902</v>
      </c>
      <c r="N10" s="9">
        <v>5.0365775984581802</v>
      </c>
      <c r="O10" s="9">
        <v>4.7392903179677101E-7</v>
      </c>
      <c r="P10" s="10" t="s">
        <v>29</v>
      </c>
    </row>
    <row r="11" spans="2:16" x14ac:dyDescent="0.2">
      <c r="B11" s="10">
        <v>1</v>
      </c>
      <c r="C11" s="10" t="s">
        <v>30</v>
      </c>
      <c r="D11" s="7">
        <v>0</v>
      </c>
      <c r="E11" s="9">
        <v>0.21537542779660601</v>
      </c>
      <c r="F11" s="9">
        <v>0</v>
      </c>
      <c r="G11" s="9">
        <v>1</v>
      </c>
      <c r="H11" s="17" t="s">
        <v>31</v>
      </c>
      <c r="J11" s="10">
        <v>1</v>
      </c>
      <c r="K11" s="10" t="s">
        <v>48</v>
      </c>
      <c r="L11" s="7">
        <v>0</v>
      </c>
      <c r="M11" s="9">
        <v>0.21537542779660601</v>
      </c>
      <c r="N11" s="9">
        <v>0</v>
      </c>
      <c r="O11" s="9">
        <v>1</v>
      </c>
      <c r="P11" s="17" t="s">
        <v>31</v>
      </c>
    </row>
    <row r="12" spans="2:16" x14ac:dyDescent="0.2">
      <c r="B12" s="10">
        <v>2</v>
      </c>
      <c r="C12" s="10" t="s">
        <v>32</v>
      </c>
      <c r="D12" s="8">
        <v>-0.33398515396457801</v>
      </c>
      <c r="E12" s="9">
        <v>0.16191678306144699</v>
      </c>
      <c r="F12" s="9">
        <v>-2.0626963286309201</v>
      </c>
      <c r="G12" s="9">
        <v>3.9141488956115002E-2</v>
      </c>
      <c r="H12" s="10" t="s">
        <v>29</v>
      </c>
      <c r="J12" s="10">
        <v>2</v>
      </c>
      <c r="K12" s="10" t="s">
        <v>49</v>
      </c>
      <c r="L12" s="8">
        <v>-0.33398515396457801</v>
      </c>
      <c r="M12" s="9">
        <v>0.16191678306144699</v>
      </c>
      <c r="N12" s="9">
        <v>-2.0626963286309201</v>
      </c>
      <c r="O12" s="9">
        <v>3.9141488956115002E-2</v>
      </c>
      <c r="P12" s="10" t="s">
        <v>29</v>
      </c>
    </row>
    <row r="13" spans="2:16" x14ac:dyDescent="0.2">
      <c r="B13" s="10">
        <v>3</v>
      </c>
      <c r="C13" s="10" t="s">
        <v>33</v>
      </c>
      <c r="D13" s="7">
        <v>0</v>
      </c>
      <c r="E13" s="9">
        <v>0.77288443680626195</v>
      </c>
      <c r="F13" s="9">
        <v>0</v>
      </c>
      <c r="G13" s="9">
        <v>1</v>
      </c>
      <c r="H13" s="17" t="s">
        <v>31</v>
      </c>
      <c r="J13" s="10">
        <v>3</v>
      </c>
      <c r="K13" s="10" t="s">
        <v>50</v>
      </c>
      <c r="L13" s="7">
        <v>0</v>
      </c>
      <c r="M13" s="9">
        <v>0.77288443680626195</v>
      </c>
      <c r="N13" s="9">
        <v>0</v>
      </c>
      <c r="O13" s="9">
        <v>1</v>
      </c>
      <c r="P13" s="17" t="s">
        <v>31</v>
      </c>
    </row>
    <row r="14" spans="2:16" x14ac:dyDescent="0.2">
      <c r="B14" s="10">
        <v>4</v>
      </c>
      <c r="C14" s="10" t="s">
        <v>34</v>
      </c>
      <c r="D14" s="8">
        <v>-3.5898766119448</v>
      </c>
      <c r="E14" s="9">
        <v>0.50375071700304097</v>
      </c>
      <c r="F14" s="9">
        <v>-7.1262957863405498</v>
      </c>
      <c r="G14" s="9">
        <v>1.03095310066692E-12</v>
      </c>
      <c r="H14" s="10" t="s">
        <v>29</v>
      </c>
      <c r="J14" s="10">
        <v>4</v>
      </c>
      <c r="K14" s="10" t="s">
        <v>51</v>
      </c>
      <c r="L14" s="8">
        <v>-3.5898766119448</v>
      </c>
      <c r="M14" s="9">
        <v>0.50375071700304097</v>
      </c>
      <c r="N14" s="9">
        <v>-7.1262957863405498</v>
      </c>
      <c r="O14" s="9">
        <v>1.03095310066692E-12</v>
      </c>
      <c r="P14" s="10" t="s">
        <v>29</v>
      </c>
    </row>
    <row r="15" spans="2:16" x14ac:dyDescent="0.2">
      <c r="B15" s="10">
        <v>5</v>
      </c>
      <c r="C15" s="10" t="s">
        <v>37</v>
      </c>
      <c r="D15" s="7">
        <v>0</v>
      </c>
      <c r="E15" s="9">
        <v>0.52382679348330796</v>
      </c>
      <c r="F15" s="9">
        <v>0</v>
      </c>
      <c r="G15" s="9">
        <v>1</v>
      </c>
      <c r="H15" s="17" t="s">
        <v>31</v>
      </c>
      <c r="J15" s="10">
        <v>5</v>
      </c>
      <c r="K15" s="10" t="s">
        <v>37</v>
      </c>
      <c r="L15" s="7">
        <v>0</v>
      </c>
      <c r="M15" s="9">
        <v>0.52382679348330796</v>
      </c>
      <c r="N15" s="9">
        <v>0</v>
      </c>
      <c r="O15" s="9">
        <v>1</v>
      </c>
      <c r="P15" s="17" t="s">
        <v>31</v>
      </c>
    </row>
    <row r="16" spans="2:16" x14ac:dyDescent="0.2">
      <c r="B16" s="10">
        <v>6</v>
      </c>
      <c r="C16" s="10" t="s">
        <v>38</v>
      </c>
      <c r="D16" s="7">
        <v>-3.46944695195361E-18</v>
      </c>
      <c r="E16" s="9">
        <v>0.278533429873351</v>
      </c>
      <c r="F16" s="9">
        <v>-1.2456124040590601E-17</v>
      </c>
      <c r="G16" s="9">
        <v>1</v>
      </c>
      <c r="H16" s="17" t="s">
        <v>31</v>
      </c>
      <c r="J16" s="10">
        <v>6</v>
      </c>
      <c r="K16" s="10" t="s">
        <v>52</v>
      </c>
      <c r="L16" s="7">
        <v>-3.46944695195361E-18</v>
      </c>
      <c r="M16" s="9">
        <v>0.278533429873351</v>
      </c>
      <c r="N16" s="9">
        <v>-1.2456124040590601E-17</v>
      </c>
      <c r="O16" s="9">
        <v>1</v>
      </c>
      <c r="P16" s="17" t="s">
        <v>31</v>
      </c>
    </row>
    <row r="17" spans="2:16" x14ac:dyDescent="0.2">
      <c r="B17" s="10">
        <v>7</v>
      </c>
      <c r="C17" s="10" t="s">
        <v>39</v>
      </c>
      <c r="D17" s="8">
        <v>-0.425044667902297</v>
      </c>
      <c r="E17" s="9">
        <v>0.20716130269093599</v>
      </c>
      <c r="F17" s="9">
        <v>-2.0517570722965601</v>
      </c>
      <c r="G17" s="9">
        <v>4.0193277123966503E-2</v>
      </c>
      <c r="H17" s="10" t="s">
        <v>29</v>
      </c>
      <c r="J17" s="10">
        <v>7</v>
      </c>
      <c r="K17" s="10" t="s">
        <v>53</v>
      </c>
      <c r="L17" s="8">
        <v>-0.425044667902297</v>
      </c>
      <c r="M17" s="9">
        <v>0.20716130269093599</v>
      </c>
      <c r="N17" s="9">
        <v>-2.0517570722965601</v>
      </c>
      <c r="O17" s="9">
        <v>4.0193277123966503E-2</v>
      </c>
      <c r="P17" s="10" t="s">
        <v>29</v>
      </c>
    </row>
    <row r="18" spans="2:16" x14ac:dyDescent="0.2">
      <c r="B18" s="10">
        <v>8</v>
      </c>
      <c r="C18" s="10" t="s">
        <v>40</v>
      </c>
      <c r="D18" s="8">
        <v>-0.29764372333759298</v>
      </c>
      <c r="E18" s="9">
        <v>0.36878631658370797</v>
      </c>
      <c r="F18" s="9">
        <v>-0.807089932443393</v>
      </c>
      <c r="G18" s="9">
        <v>0.41961467193701302</v>
      </c>
      <c r="H18" s="10" t="s">
        <v>29</v>
      </c>
      <c r="J18" s="10">
        <v>8</v>
      </c>
      <c r="K18" s="10" t="s">
        <v>54</v>
      </c>
      <c r="L18" s="8">
        <v>-0.29764372333759298</v>
      </c>
      <c r="M18" s="9">
        <v>0.36878631658370797</v>
      </c>
      <c r="N18" s="9">
        <v>-0.807089932443393</v>
      </c>
      <c r="O18" s="9">
        <v>0.41961467193701302</v>
      </c>
      <c r="P18" s="10" t="s">
        <v>29</v>
      </c>
    </row>
    <row r="19" spans="2:16" x14ac:dyDescent="0.2">
      <c r="B19" s="19">
        <v>9</v>
      </c>
      <c r="C19" s="19" t="s">
        <v>41</v>
      </c>
      <c r="D19" s="23">
        <v>-0.51139308830593899</v>
      </c>
      <c r="E19" s="18">
        <v>0.10451075425501</v>
      </c>
      <c r="F19" s="18">
        <v>-4.89321019593946</v>
      </c>
      <c r="G19" s="18">
        <v>9.9204353865012209E-7</v>
      </c>
      <c r="H19" s="19" t="s">
        <v>29</v>
      </c>
      <c r="J19" s="19">
        <v>9</v>
      </c>
      <c r="K19" s="19" t="s">
        <v>55</v>
      </c>
      <c r="L19" s="23">
        <v>-0.51139308830593899</v>
      </c>
      <c r="M19" s="18">
        <v>0.10451075425501</v>
      </c>
      <c r="N19" s="18">
        <v>-4.89321019593946</v>
      </c>
      <c r="O19" s="18">
        <v>9.9204353865012209E-7</v>
      </c>
      <c r="P19" s="19" t="s">
        <v>29</v>
      </c>
    </row>
    <row r="20" spans="2:16" x14ac:dyDescent="0.2">
      <c r="B20" s="28" t="s">
        <v>43</v>
      </c>
      <c r="C20" s="28"/>
      <c r="D20" s="28"/>
      <c r="E20" s="28"/>
      <c r="F20" s="28"/>
      <c r="G20" s="28"/>
      <c r="H20" s="28"/>
      <c r="J20" s="28" t="s">
        <v>43</v>
      </c>
      <c r="K20" s="28"/>
      <c r="L20" s="28"/>
      <c r="M20" s="28"/>
      <c r="N20" s="28"/>
      <c r="O20" s="28"/>
      <c r="P20" s="28"/>
    </row>
    <row r="21" spans="2:16" x14ac:dyDescent="0.2">
      <c r="B21" t="s">
        <v>69</v>
      </c>
      <c r="C21">
        <v>10</v>
      </c>
      <c r="J21" t="s">
        <v>69</v>
      </c>
      <c r="K21">
        <v>10</v>
      </c>
      <c r="L21" s="12"/>
      <c r="M21" s="12"/>
      <c r="N21" s="12"/>
      <c r="O21" s="12"/>
    </row>
    <row r="22" spans="2:16" x14ac:dyDescent="0.2">
      <c r="B22" t="s">
        <v>70</v>
      </c>
      <c r="C22">
        <v>99</v>
      </c>
      <c r="J22" t="s">
        <v>70</v>
      </c>
      <c r="K22">
        <v>99</v>
      </c>
      <c r="L22" s="12"/>
      <c r="M22" s="12"/>
      <c r="N22" s="12"/>
      <c r="O22" s="12"/>
    </row>
    <row r="23" spans="2:16" x14ac:dyDescent="0.2">
      <c r="B23" t="s">
        <v>71</v>
      </c>
      <c r="C23" s="20">
        <v>-227.95590000000001</v>
      </c>
      <c r="J23" t="s">
        <v>71</v>
      </c>
      <c r="K23" s="20">
        <v>-227.95590000000001</v>
      </c>
      <c r="L23" s="12"/>
      <c r="M23" s="12"/>
      <c r="N23" s="12"/>
      <c r="O23" s="12"/>
    </row>
    <row r="24" spans="2:16" x14ac:dyDescent="0.2">
      <c r="B24" t="s">
        <v>72</v>
      </c>
      <c r="C24" s="20">
        <v>-106.48390000000001</v>
      </c>
      <c r="J24" t="s">
        <v>72</v>
      </c>
      <c r="K24" s="20">
        <v>-106.48390000000001</v>
      </c>
      <c r="L24" s="12"/>
      <c r="M24" s="12"/>
      <c r="N24" s="12"/>
      <c r="O24" s="12"/>
    </row>
    <row r="25" spans="2:16" x14ac:dyDescent="0.2">
      <c r="B25" t="s">
        <v>73</v>
      </c>
      <c r="C25" s="20">
        <f>-2*(C23-C24)</f>
        <v>242.94400000000002</v>
      </c>
      <c r="J25" t="s">
        <v>73</v>
      </c>
      <c r="K25" s="20">
        <f>-2*(K23-K24)</f>
        <v>242.94400000000002</v>
      </c>
      <c r="L25" s="12"/>
      <c r="M25" s="12"/>
      <c r="N25" s="12"/>
      <c r="O25" s="12"/>
    </row>
    <row r="26" spans="2:16" x14ac:dyDescent="0.2">
      <c r="B26" t="s">
        <v>74</v>
      </c>
      <c r="C26" s="20">
        <v>232.96789999999999</v>
      </c>
      <c r="J26" t="s">
        <v>74</v>
      </c>
      <c r="K26" s="20">
        <v>232.96789999999999</v>
      </c>
    </row>
    <row r="27" spans="2:16" x14ac:dyDescent="0.2">
      <c r="B27" t="s">
        <v>75</v>
      </c>
      <c r="C27" s="20">
        <v>258.91910000000001</v>
      </c>
      <c r="J27" t="s">
        <v>75</v>
      </c>
      <c r="K27" s="20">
        <v>258.91910000000001</v>
      </c>
    </row>
    <row r="29" spans="2:16" x14ac:dyDescent="0.2">
      <c r="B29" s="29" t="s">
        <v>78</v>
      </c>
      <c r="C29" s="29"/>
      <c r="D29" s="29"/>
      <c r="E29" s="29"/>
      <c r="F29" s="29"/>
      <c r="G29" s="29"/>
      <c r="H29" s="29"/>
    </row>
    <row r="30" spans="2:16" x14ac:dyDescent="0.2">
      <c r="B30" s="1" t="s">
        <v>68</v>
      </c>
      <c r="C30" s="1"/>
      <c r="D30" s="1"/>
      <c r="E30" s="1"/>
      <c r="F30" s="1"/>
      <c r="G30" s="1"/>
      <c r="H30" s="1"/>
    </row>
    <row r="32" spans="2:16" x14ac:dyDescent="0.2">
      <c r="B32" t="s">
        <v>64</v>
      </c>
      <c r="C32">
        <f>K21-C21</f>
        <v>0</v>
      </c>
    </row>
    <row r="33" spans="2:16" x14ac:dyDescent="0.2">
      <c r="B33" t="s">
        <v>65</v>
      </c>
      <c r="C33" s="20">
        <f>-2*(C24-K24)</f>
        <v>0</v>
      </c>
      <c r="J33" s="14"/>
      <c r="K33" s="14"/>
      <c r="L33" s="14"/>
      <c r="M33" s="14"/>
      <c r="N33" s="14"/>
      <c r="O33" s="14"/>
      <c r="P33" s="14"/>
    </row>
    <row r="34" spans="2:16" ht="20" x14ac:dyDescent="0.25">
      <c r="B34" t="s">
        <v>66</v>
      </c>
      <c r="C34" s="2" t="s">
        <v>85</v>
      </c>
      <c r="D34" s="16" t="s">
        <v>7</v>
      </c>
      <c r="E34" s="27" t="str">
        <f>IF(C33&lt;C34,"H0 cannot be rejected","H0 rejected")</f>
        <v>H0 cannot be rejected</v>
      </c>
      <c r="F34" s="27"/>
      <c r="G34" s="27"/>
      <c r="H34" s="27"/>
      <c r="J34" s="1"/>
      <c r="K34" s="1"/>
      <c r="L34" s="1"/>
      <c r="M34" s="1"/>
      <c r="N34" s="1"/>
      <c r="O34" s="1"/>
      <c r="P34" s="1"/>
    </row>
    <row r="38" spans="2:16" x14ac:dyDescent="0.2">
      <c r="L38" s="3"/>
      <c r="M38" s="25"/>
      <c r="N38" s="24"/>
      <c r="O38" s="24"/>
      <c r="P38" s="24"/>
    </row>
  </sheetData>
  <mergeCells count="6">
    <mergeCell ref="B20:H20"/>
    <mergeCell ref="J20:P20"/>
    <mergeCell ref="B29:H29"/>
    <mergeCell ref="E34:H34"/>
    <mergeCell ref="B8:H8"/>
    <mergeCell ref="J8:P8"/>
  </mergeCells>
  <conditionalFormatting sqref="E34:H34">
    <cfRule type="cellIs" dxfId="29" priority="3" operator="equal">
      <formula>"H0 cannot be rejected"</formula>
    </cfRule>
    <cfRule type="cellIs" dxfId="28" priority="4" operator="equal">
      <formula>"H0 rejected"</formula>
    </cfRule>
  </conditionalFormatting>
  <conditionalFormatting sqref="M38:P38">
    <cfRule type="cellIs" dxfId="27" priority="1" operator="equal">
      <formula>"H0 cannot be rejected"</formula>
    </cfRule>
    <cfRule type="cellIs" dxfId="26" priority="2" operator="equal">
      <formula>"H0 rejected"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643D3-0D20-694C-B623-4E1D5AB18F6B}">
  <sheetPr>
    <tabColor rgb="FF00B0F0"/>
  </sheetPr>
  <dimension ref="B2:X48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21" t="s">
        <v>17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2:24" x14ac:dyDescent="0.2">
      <c r="B4" s="19" t="s">
        <v>76</v>
      </c>
      <c r="C4" s="19" t="s">
        <v>77</v>
      </c>
      <c r="D4" s="2"/>
      <c r="E4" s="2"/>
      <c r="F4" s="2"/>
    </row>
    <row r="5" spans="2:24" x14ac:dyDescent="0.2">
      <c r="B5" s="10" t="s">
        <v>0</v>
      </c>
      <c r="C5" s="5" t="s">
        <v>5</v>
      </c>
      <c r="D5" s="2"/>
      <c r="E5" s="2"/>
      <c r="F5" s="2"/>
    </row>
    <row r="6" spans="2:24" x14ac:dyDescent="0.2">
      <c r="B6" s="10" t="s">
        <v>1</v>
      </c>
      <c r="C6" s="5" t="s">
        <v>5</v>
      </c>
      <c r="D6" s="2"/>
      <c r="E6" s="2"/>
      <c r="F6" s="2"/>
    </row>
    <row r="7" spans="2:24" x14ac:dyDescent="0.2">
      <c r="B7" s="10" t="s">
        <v>2</v>
      </c>
      <c r="C7" s="5" t="s">
        <v>5</v>
      </c>
      <c r="D7" s="2"/>
      <c r="E7" s="2"/>
      <c r="F7" s="2"/>
    </row>
    <row r="8" spans="2:24" x14ac:dyDescent="0.2">
      <c r="B8" s="10" t="s">
        <v>11</v>
      </c>
      <c r="C8" s="5" t="s">
        <v>6</v>
      </c>
      <c r="D8" s="2"/>
      <c r="E8" s="2"/>
      <c r="F8" s="2"/>
    </row>
    <row r="9" spans="2:24" x14ac:dyDescent="0.2">
      <c r="B9" s="10" t="s">
        <v>3</v>
      </c>
      <c r="C9" s="5" t="s">
        <v>6</v>
      </c>
      <c r="D9" s="2"/>
      <c r="E9" s="2"/>
      <c r="F9" s="2"/>
    </row>
    <row r="11" spans="2:24" x14ac:dyDescent="0.2">
      <c r="B11" s="26" t="s">
        <v>94</v>
      </c>
      <c r="C11" s="26"/>
      <c r="D11" s="26"/>
      <c r="E11" s="26"/>
      <c r="F11" s="26"/>
      <c r="G11" s="26"/>
      <c r="H11" s="26"/>
      <c r="J11" s="26" t="s">
        <v>93</v>
      </c>
      <c r="K11" s="26"/>
      <c r="L11" s="26"/>
      <c r="M11" s="26"/>
      <c r="N11" s="26"/>
      <c r="O11" s="26"/>
      <c r="P11" s="26"/>
      <c r="R11" s="26" t="s">
        <v>95</v>
      </c>
      <c r="S11" s="26"/>
      <c r="T11" s="26"/>
      <c r="U11" s="26"/>
      <c r="V11" s="26"/>
      <c r="W11" s="26"/>
      <c r="X11" s="26"/>
    </row>
    <row r="12" spans="2:24" x14ac:dyDescent="0.2">
      <c r="B12" s="11" t="s">
        <v>42</v>
      </c>
      <c r="C12" s="11" t="s">
        <v>22</v>
      </c>
      <c r="D12" s="13" t="s">
        <v>23</v>
      </c>
      <c r="E12" s="13" t="s">
        <v>24</v>
      </c>
      <c r="F12" s="13" t="s">
        <v>25</v>
      </c>
      <c r="G12" s="13" t="s">
        <v>26</v>
      </c>
      <c r="H12" s="11" t="s">
        <v>27</v>
      </c>
      <c r="J12" s="11" t="s">
        <v>42</v>
      </c>
      <c r="K12" s="11" t="s">
        <v>22</v>
      </c>
      <c r="L12" s="11" t="s">
        <v>23</v>
      </c>
      <c r="M12" s="11" t="s">
        <v>24</v>
      </c>
      <c r="N12" s="11" t="s">
        <v>25</v>
      </c>
      <c r="O12" s="11" t="s">
        <v>26</v>
      </c>
      <c r="P12" s="11" t="s">
        <v>27</v>
      </c>
      <c r="R12" s="11" t="s">
        <v>42</v>
      </c>
      <c r="S12" s="11" t="s">
        <v>22</v>
      </c>
      <c r="T12" s="11" t="s">
        <v>23</v>
      </c>
      <c r="U12" s="11" t="s">
        <v>24</v>
      </c>
      <c r="V12" s="11" t="s">
        <v>25</v>
      </c>
      <c r="W12" s="11" t="s">
        <v>26</v>
      </c>
      <c r="X12" s="11" t="s">
        <v>27</v>
      </c>
    </row>
    <row r="13" spans="2:24" x14ac:dyDescent="0.2">
      <c r="B13" s="10">
        <v>0</v>
      </c>
      <c r="C13" s="10" t="s">
        <v>28</v>
      </c>
      <c r="D13" s="8">
        <v>1.0396023021136001</v>
      </c>
      <c r="E13" s="9">
        <v>0.51379513874751404</v>
      </c>
      <c r="F13" s="9">
        <v>2.0233790157062499</v>
      </c>
      <c r="G13" s="9">
        <v>4.3034085975289502E-2</v>
      </c>
      <c r="H13" s="10" t="s">
        <v>29</v>
      </c>
      <c r="J13" s="10">
        <v>0</v>
      </c>
      <c r="K13" s="10" t="s">
        <v>28</v>
      </c>
      <c r="L13" s="8">
        <v>1.5698598507016299</v>
      </c>
      <c r="M13" s="9">
        <v>0.59862696164881102</v>
      </c>
      <c r="N13" s="9">
        <v>2.6224342558472999</v>
      </c>
      <c r="O13" s="9">
        <v>8.73041101761984E-3</v>
      </c>
      <c r="P13" s="10" t="s">
        <v>29</v>
      </c>
      <c r="R13" s="10">
        <v>0</v>
      </c>
      <c r="S13" s="10" t="s">
        <v>28</v>
      </c>
      <c r="T13" s="8">
        <v>1.56050827339136</v>
      </c>
      <c r="U13" s="9">
        <v>0.70652712169174803</v>
      </c>
      <c r="V13" s="9">
        <v>2.2087025755710501</v>
      </c>
      <c r="W13" s="9">
        <v>2.7195335174304301E-2</v>
      </c>
      <c r="X13" s="10" t="s">
        <v>29</v>
      </c>
    </row>
    <row r="14" spans="2:24" x14ac:dyDescent="0.2">
      <c r="B14" s="10">
        <v>1</v>
      </c>
      <c r="C14" s="10" t="s">
        <v>30</v>
      </c>
      <c r="D14" s="7">
        <v>0</v>
      </c>
      <c r="E14" s="9">
        <v>0.23318799661600201</v>
      </c>
      <c r="F14" s="9">
        <v>0</v>
      </c>
      <c r="G14" s="9">
        <v>1</v>
      </c>
      <c r="H14" s="17" t="s">
        <v>31</v>
      </c>
      <c r="J14" s="10">
        <v>1</v>
      </c>
      <c r="K14" s="10" t="s">
        <v>44</v>
      </c>
      <c r="L14" s="7">
        <v>0</v>
      </c>
      <c r="M14" s="9">
        <v>0.33984977398523902</v>
      </c>
      <c r="N14" s="9">
        <v>0</v>
      </c>
      <c r="O14" s="9">
        <v>1</v>
      </c>
      <c r="P14" s="17" t="s">
        <v>31</v>
      </c>
      <c r="R14" s="10">
        <v>1</v>
      </c>
      <c r="S14" s="10" t="s">
        <v>56</v>
      </c>
      <c r="T14" s="7">
        <v>0</v>
      </c>
      <c r="U14" s="9">
        <v>0.38246378302906803</v>
      </c>
      <c r="V14" s="9">
        <v>0</v>
      </c>
      <c r="W14" s="9">
        <v>1</v>
      </c>
      <c r="X14" s="17" t="s">
        <v>31</v>
      </c>
    </row>
    <row r="15" spans="2:24" x14ac:dyDescent="0.2">
      <c r="B15" s="10">
        <v>2</v>
      </c>
      <c r="C15" s="10" t="s">
        <v>32</v>
      </c>
      <c r="D15" s="7">
        <v>0</v>
      </c>
      <c r="E15" s="9">
        <v>0.14961822599414401</v>
      </c>
      <c r="F15" s="9">
        <v>0</v>
      </c>
      <c r="G15" s="9">
        <v>1</v>
      </c>
      <c r="H15" s="17" t="s">
        <v>31</v>
      </c>
      <c r="J15" s="10">
        <v>2</v>
      </c>
      <c r="K15" s="10" t="s">
        <v>45</v>
      </c>
      <c r="L15" s="7">
        <v>0</v>
      </c>
      <c r="M15" s="9">
        <v>0.16459341186715001</v>
      </c>
      <c r="N15" s="9">
        <v>0</v>
      </c>
      <c r="O15" s="9">
        <v>1</v>
      </c>
      <c r="P15" s="17" t="s">
        <v>31</v>
      </c>
      <c r="R15" s="10">
        <v>2</v>
      </c>
      <c r="S15" s="10" t="s">
        <v>57</v>
      </c>
      <c r="T15" s="8">
        <v>-3.8577227857604299E-2</v>
      </c>
      <c r="U15" s="9">
        <v>0.24810248477636601</v>
      </c>
      <c r="V15" s="9">
        <v>-0.15548908303911901</v>
      </c>
      <c r="W15" s="9">
        <v>0.87643575974606003</v>
      </c>
      <c r="X15" s="10" t="s">
        <v>29</v>
      </c>
    </row>
    <row r="16" spans="2:24" x14ac:dyDescent="0.2">
      <c r="B16" s="10">
        <v>3</v>
      </c>
      <c r="C16" s="10" t="s">
        <v>33</v>
      </c>
      <c r="D16" s="8">
        <v>-2.21667978545808E-2</v>
      </c>
      <c r="E16" s="9">
        <v>0.116067970548347</v>
      </c>
      <c r="F16" s="9">
        <v>-0.19098117895795699</v>
      </c>
      <c r="G16" s="9">
        <v>0.84854033876756196</v>
      </c>
      <c r="H16" s="10" t="s">
        <v>29</v>
      </c>
      <c r="J16" s="10">
        <v>3</v>
      </c>
      <c r="K16" s="10" t="s">
        <v>46</v>
      </c>
      <c r="L16" s="8">
        <v>-5.8349901073138602E-2</v>
      </c>
      <c r="M16" s="9">
        <v>0.13070575858439801</v>
      </c>
      <c r="N16" s="9">
        <v>-0.44642180807558801</v>
      </c>
      <c r="O16" s="9">
        <v>0.65529258270635804</v>
      </c>
      <c r="P16" s="10" t="s">
        <v>29</v>
      </c>
      <c r="R16" s="10">
        <v>3</v>
      </c>
      <c r="S16" s="10" t="s">
        <v>58</v>
      </c>
      <c r="T16" s="8">
        <v>-7.7864012796039703E-2</v>
      </c>
      <c r="U16" s="9">
        <v>0.13409017544933999</v>
      </c>
      <c r="V16" s="9">
        <v>-0.58068395044688903</v>
      </c>
      <c r="W16" s="9">
        <v>0.56145348055716904</v>
      </c>
      <c r="X16" s="10" t="s">
        <v>29</v>
      </c>
    </row>
    <row r="17" spans="2:24" x14ac:dyDescent="0.2">
      <c r="B17" s="10">
        <v>4</v>
      </c>
      <c r="C17" s="10" t="s">
        <v>34</v>
      </c>
      <c r="D17" s="8">
        <v>-0.14041640572480199</v>
      </c>
      <c r="E17" s="9">
        <v>7.9431643132607102E-2</v>
      </c>
      <c r="F17" s="9">
        <v>-1.7677640822610701</v>
      </c>
      <c r="G17" s="9">
        <v>7.7100351857846305E-2</v>
      </c>
      <c r="H17" s="10" t="s">
        <v>29</v>
      </c>
      <c r="J17" s="10">
        <v>4</v>
      </c>
      <c r="K17" s="10" t="s">
        <v>47</v>
      </c>
      <c r="L17" s="8">
        <v>-9.2021752440878596E-2</v>
      </c>
      <c r="M17" s="9">
        <v>8.3255117798258796E-2</v>
      </c>
      <c r="N17" s="9">
        <v>-1.1052984474043099</v>
      </c>
      <c r="O17" s="9">
        <v>0.26903029046362398</v>
      </c>
      <c r="P17" s="10" t="s">
        <v>29</v>
      </c>
      <c r="R17" s="10">
        <v>4</v>
      </c>
      <c r="S17" s="10" t="s">
        <v>59</v>
      </c>
      <c r="T17" s="7">
        <v>0</v>
      </c>
      <c r="U17" s="9">
        <v>0.14897105232375199</v>
      </c>
      <c r="V17" s="9">
        <v>0</v>
      </c>
      <c r="W17" s="9">
        <v>1</v>
      </c>
      <c r="X17" s="17" t="s">
        <v>31</v>
      </c>
    </row>
    <row r="18" spans="2:24" x14ac:dyDescent="0.2">
      <c r="B18" s="10">
        <v>5</v>
      </c>
      <c r="C18" s="10" t="s">
        <v>35</v>
      </c>
      <c r="D18" s="8">
        <v>6.7499828858970407E-2</v>
      </c>
      <c r="E18" s="9">
        <v>0.52646446940116498</v>
      </c>
      <c r="F18" s="9">
        <v>0.12821345557421701</v>
      </c>
      <c r="G18" s="9">
        <v>0.89798005194739605</v>
      </c>
      <c r="H18" s="10" t="s">
        <v>29</v>
      </c>
      <c r="J18" s="10">
        <v>5</v>
      </c>
      <c r="K18" s="10" t="s">
        <v>35</v>
      </c>
      <c r="L18" s="7">
        <v>0</v>
      </c>
      <c r="M18" s="9">
        <v>0.65636492949215397</v>
      </c>
      <c r="N18" s="9">
        <v>0</v>
      </c>
      <c r="O18" s="9">
        <v>1</v>
      </c>
      <c r="P18" s="17" t="s">
        <v>31</v>
      </c>
      <c r="R18" s="10">
        <v>5</v>
      </c>
      <c r="S18" s="10" t="s">
        <v>35</v>
      </c>
      <c r="T18" s="7">
        <v>0</v>
      </c>
      <c r="U18" s="9">
        <v>0.76529913502568203</v>
      </c>
      <c r="V18" s="9">
        <v>0</v>
      </c>
      <c r="W18" s="9">
        <v>1</v>
      </c>
      <c r="X18" s="17" t="s">
        <v>31</v>
      </c>
    </row>
    <row r="19" spans="2:24" x14ac:dyDescent="0.2">
      <c r="B19" s="10">
        <v>6</v>
      </c>
      <c r="C19" s="10" t="s">
        <v>36</v>
      </c>
      <c r="D19" s="8">
        <v>0.234120276361267</v>
      </c>
      <c r="E19" s="9">
        <v>0.52789626693627401</v>
      </c>
      <c r="F19" s="9">
        <v>0.44349674552544099</v>
      </c>
      <c r="G19" s="9">
        <v>0.65740647269688501</v>
      </c>
      <c r="H19" s="10" t="s">
        <v>29</v>
      </c>
      <c r="J19" s="10">
        <v>6</v>
      </c>
      <c r="K19" s="10" t="s">
        <v>36</v>
      </c>
      <c r="L19" s="8">
        <v>4.5265278549838399</v>
      </c>
      <c r="M19" s="9">
        <v>1.1610486055645399</v>
      </c>
      <c r="N19" s="9">
        <v>3.8986549170203499</v>
      </c>
      <c r="O19" s="9">
        <v>9.6728508240939703E-5</v>
      </c>
      <c r="P19" s="10" t="s">
        <v>29</v>
      </c>
      <c r="R19" s="10">
        <v>6</v>
      </c>
      <c r="S19" s="10" t="s">
        <v>60</v>
      </c>
      <c r="T19" s="7">
        <v>0</v>
      </c>
      <c r="U19" s="9">
        <v>0.46543430832237598</v>
      </c>
      <c r="V19" s="9">
        <v>0</v>
      </c>
      <c r="W19" s="9">
        <v>1</v>
      </c>
      <c r="X19" s="17" t="s">
        <v>31</v>
      </c>
    </row>
    <row r="20" spans="2:24" x14ac:dyDescent="0.2">
      <c r="B20" s="10">
        <v>7</v>
      </c>
      <c r="C20" s="10" t="s">
        <v>80</v>
      </c>
      <c r="D20" s="8">
        <v>3.3489529607286501</v>
      </c>
      <c r="E20" s="9">
        <v>0.536338346400976</v>
      </c>
      <c r="F20" s="9">
        <v>6.2441050191569198</v>
      </c>
      <c r="G20" s="9">
        <v>4.2623349294501602E-10</v>
      </c>
      <c r="H20" s="10" t="s">
        <v>29</v>
      </c>
      <c r="J20" s="10">
        <v>7</v>
      </c>
      <c r="K20" s="10" t="s">
        <v>48</v>
      </c>
      <c r="L20" s="8">
        <v>-2.9150314539556601</v>
      </c>
      <c r="M20" s="9">
        <v>1.16028703513404</v>
      </c>
      <c r="N20" s="9">
        <v>-2.5123364871683602</v>
      </c>
      <c r="O20" s="9">
        <v>1.19934670597154E-2</v>
      </c>
      <c r="P20" s="10" t="s">
        <v>29</v>
      </c>
      <c r="R20" s="10">
        <v>7</v>
      </c>
      <c r="S20" s="10" t="s">
        <v>61</v>
      </c>
      <c r="T20" s="7">
        <v>0</v>
      </c>
      <c r="U20" s="9">
        <v>0.31447470033750902</v>
      </c>
      <c r="V20" s="9">
        <v>0</v>
      </c>
      <c r="W20" s="9">
        <v>1</v>
      </c>
      <c r="X20" s="17" t="s">
        <v>31</v>
      </c>
    </row>
    <row r="21" spans="2:24" x14ac:dyDescent="0.2">
      <c r="B21" s="10">
        <v>8</v>
      </c>
      <c r="C21" s="10" t="s">
        <v>38</v>
      </c>
      <c r="D21" s="8">
        <v>-3.0880435912040998E-4</v>
      </c>
      <c r="E21" s="9">
        <v>0.17108475287303199</v>
      </c>
      <c r="F21" s="9">
        <v>-1.8049788419753801E-3</v>
      </c>
      <c r="G21" s="9">
        <v>0.99855983603140797</v>
      </c>
      <c r="H21" s="10" t="s">
        <v>29</v>
      </c>
      <c r="J21" s="10">
        <v>8</v>
      </c>
      <c r="K21" s="10" t="s">
        <v>49</v>
      </c>
      <c r="L21" s="8">
        <v>-1.61800076580028</v>
      </c>
      <c r="M21" s="9">
        <v>0.51028271807702896</v>
      </c>
      <c r="N21" s="9">
        <v>-3.1707927948209198</v>
      </c>
      <c r="O21" s="9">
        <v>1.52023539710821E-3</v>
      </c>
      <c r="P21" s="10" t="s">
        <v>29</v>
      </c>
      <c r="R21" s="10">
        <v>8</v>
      </c>
      <c r="S21" s="10" t="s">
        <v>62</v>
      </c>
      <c r="T21" s="8">
        <v>-4.7865946739128397E-2</v>
      </c>
      <c r="U21" s="9">
        <v>0.162519427781983</v>
      </c>
      <c r="V21" s="9">
        <v>-0.29452446019770301</v>
      </c>
      <c r="W21" s="9">
        <v>0.768357175310459</v>
      </c>
      <c r="X21" s="10" t="s">
        <v>29</v>
      </c>
    </row>
    <row r="22" spans="2:24" x14ac:dyDescent="0.2">
      <c r="B22" s="10">
        <v>9</v>
      </c>
      <c r="C22" s="10" t="s">
        <v>39</v>
      </c>
      <c r="D22" s="8">
        <v>-0.18496874795750301</v>
      </c>
      <c r="E22" s="9">
        <v>0.174259610962579</v>
      </c>
      <c r="F22" s="9">
        <v>-1.0614550723243801</v>
      </c>
      <c r="G22" s="9">
        <v>0.28848314026830602</v>
      </c>
      <c r="H22" s="10" t="s">
        <v>29</v>
      </c>
      <c r="J22" s="10">
        <v>9</v>
      </c>
      <c r="K22" s="10" t="s">
        <v>50</v>
      </c>
      <c r="L22" s="7">
        <v>0</v>
      </c>
      <c r="M22" s="9">
        <v>3.5465998333735098</v>
      </c>
      <c r="N22" s="9">
        <v>0</v>
      </c>
      <c r="O22" s="9">
        <v>1</v>
      </c>
      <c r="P22" s="17" t="s">
        <v>31</v>
      </c>
      <c r="R22" s="10">
        <v>9</v>
      </c>
      <c r="S22" s="10" t="s">
        <v>63</v>
      </c>
      <c r="T22" s="8">
        <v>-0.17508540108191201</v>
      </c>
      <c r="U22" s="9">
        <v>0.12936412259374799</v>
      </c>
      <c r="V22" s="9">
        <v>-1.35343090163991</v>
      </c>
      <c r="W22" s="9">
        <v>0.175918010900494</v>
      </c>
      <c r="X22" s="10" t="s">
        <v>29</v>
      </c>
    </row>
    <row r="23" spans="2:24" x14ac:dyDescent="0.2">
      <c r="B23" s="10">
        <v>10</v>
      </c>
      <c r="C23" s="10" t="s">
        <v>40</v>
      </c>
      <c r="D23" s="8">
        <v>-3.8630535340966898</v>
      </c>
      <c r="E23" s="9">
        <v>2.1443429469488899</v>
      </c>
      <c r="F23" s="9">
        <v>-1.8015091940369301</v>
      </c>
      <c r="G23" s="9">
        <v>7.1622659486840295E-2</v>
      </c>
      <c r="H23" s="10" t="s">
        <v>29</v>
      </c>
      <c r="J23" s="10">
        <v>10</v>
      </c>
      <c r="K23" s="10" t="s">
        <v>51</v>
      </c>
      <c r="L23" s="8">
        <v>-5.5719612682416697</v>
      </c>
      <c r="M23" s="9">
        <v>1.9493191204523701</v>
      </c>
      <c r="N23" s="9">
        <v>-2.8584141045867302</v>
      </c>
      <c r="O23" s="9">
        <v>4.2576436073182801E-3</v>
      </c>
      <c r="P23" s="10" t="s">
        <v>29</v>
      </c>
      <c r="R23" s="10">
        <v>10</v>
      </c>
      <c r="S23" s="10" t="s">
        <v>36</v>
      </c>
      <c r="T23" s="8">
        <v>4.6536515828985099</v>
      </c>
      <c r="U23" s="9">
        <v>1.2553629344608599</v>
      </c>
      <c r="V23" s="9">
        <v>3.7070168754799799</v>
      </c>
      <c r="W23" s="9">
        <v>2.0971497346100501E-4</v>
      </c>
      <c r="X23" s="10" t="s">
        <v>29</v>
      </c>
    </row>
    <row r="24" spans="2:24" x14ac:dyDescent="0.2">
      <c r="B24" s="10">
        <v>11</v>
      </c>
      <c r="C24" s="10" t="s">
        <v>41</v>
      </c>
      <c r="D24" s="8">
        <v>-2.44702305575021</v>
      </c>
      <c r="E24" s="9">
        <v>1.2240664877202601</v>
      </c>
      <c r="F24" s="9">
        <v>-1.99909325212195</v>
      </c>
      <c r="G24" s="9">
        <v>4.55982651071054E-2</v>
      </c>
      <c r="H24" s="10" t="s">
        <v>29</v>
      </c>
      <c r="J24" s="10">
        <v>11</v>
      </c>
      <c r="K24" s="10" t="s">
        <v>80</v>
      </c>
      <c r="L24" s="8">
        <v>3.76647766971836</v>
      </c>
      <c r="M24" s="9">
        <v>0.81645553114446101</v>
      </c>
      <c r="N24" s="9">
        <v>4.61320614049699</v>
      </c>
      <c r="O24" s="9">
        <v>3.9650470398111503E-6</v>
      </c>
      <c r="P24" s="10" t="s">
        <v>29</v>
      </c>
      <c r="R24" s="10">
        <v>11</v>
      </c>
      <c r="S24" s="10" t="s">
        <v>48</v>
      </c>
      <c r="T24" s="8">
        <v>-2.9551321356442402</v>
      </c>
      <c r="U24" s="9">
        <v>1.1688181235322399</v>
      </c>
      <c r="V24" s="9">
        <v>-2.5283079344403299</v>
      </c>
      <c r="W24" s="9">
        <v>1.1461377740248101E-2</v>
      </c>
      <c r="X24" s="10" t="s">
        <v>29</v>
      </c>
    </row>
    <row r="25" spans="2:24" x14ac:dyDescent="0.2">
      <c r="B25" s="19">
        <v>12</v>
      </c>
      <c r="C25" s="19" t="s">
        <v>37</v>
      </c>
      <c r="D25" s="23">
        <v>0.96055358912059197</v>
      </c>
      <c r="E25" s="18">
        <v>0.65631955862370595</v>
      </c>
      <c r="F25" s="18">
        <v>1.46354558004466</v>
      </c>
      <c r="G25" s="18">
        <v>0.14331815106430201</v>
      </c>
      <c r="H25" s="19" t="s">
        <v>29</v>
      </c>
      <c r="J25" s="10">
        <v>12</v>
      </c>
      <c r="K25" s="10" t="s">
        <v>81</v>
      </c>
      <c r="L25" s="7">
        <v>0</v>
      </c>
      <c r="M25" s="9">
        <v>0.281348904618347</v>
      </c>
      <c r="N25" s="9">
        <v>0</v>
      </c>
      <c r="O25" s="9">
        <v>1</v>
      </c>
      <c r="P25" s="17" t="s">
        <v>31</v>
      </c>
      <c r="R25" s="10">
        <v>12</v>
      </c>
      <c r="S25" s="10" t="s">
        <v>49</v>
      </c>
      <c r="T25" s="8">
        <v>-1.66611074318723</v>
      </c>
      <c r="U25" s="9">
        <v>0.52232723755584198</v>
      </c>
      <c r="V25" s="9">
        <v>-3.18978338365728</v>
      </c>
      <c r="W25" s="9">
        <v>1.42379470361464E-3</v>
      </c>
      <c r="X25" s="10" t="s">
        <v>29</v>
      </c>
    </row>
    <row r="26" spans="2:24" x14ac:dyDescent="0.2">
      <c r="B26" s="28" t="s">
        <v>43</v>
      </c>
      <c r="C26" s="28"/>
      <c r="D26" s="28"/>
      <c r="E26" s="28"/>
      <c r="F26" s="28"/>
      <c r="G26" s="28"/>
      <c r="H26" s="28"/>
      <c r="J26" s="10">
        <v>13</v>
      </c>
      <c r="K26" s="10" t="s">
        <v>82</v>
      </c>
      <c r="L26" s="7">
        <v>0</v>
      </c>
      <c r="M26" s="9">
        <v>0.253533193842434</v>
      </c>
      <c r="N26" s="9">
        <v>0</v>
      </c>
      <c r="O26" s="9">
        <v>1</v>
      </c>
      <c r="P26" s="17" t="s">
        <v>31</v>
      </c>
      <c r="R26" s="10">
        <v>13</v>
      </c>
      <c r="S26" s="10" t="s">
        <v>50</v>
      </c>
      <c r="T26" s="7">
        <v>0</v>
      </c>
      <c r="U26" s="9">
        <v>3.56289024387954</v>
      </c>
      <c r="V26" s="9">
        <v>0</v>
      </c>
      <c r="W26" s="9">
        <v>1</v>
      </c>
      <c r="X26" s="17" t="s">
        <v>31</v>
      </c>
    </row>
    <row r="27" spans="2:24" x14ac:dyDescent="0.2">
      <c r="B27" t="s">
        <v>69</v>
      </c>
      <c r="C27">
        <v>13</v>
      </c>
      <c r="J27" s="10">
        <v>14</v>
      </c>
      <c r="K27" s="10" t="s">
        <v>83</v>
      </c>
      <c r="L27" s="8">
        <v>-5.5818691251745198</v>
      </c>
      <c r="M27" s="9">
        <v>3.11161898195807</v>
      </c>
      <c r="N27" s="9">
        <v>-1.79387937840062</v>
      </c>
      <c r="O27" s="9">
        <v>7.2832423571420293E-2</v>
      </c>
      <c r="P27" s="10" t="s">
        <v>29</v>
      </c>
      <c r="R27" s="10">
        <v>14</v>
      </c>
      <c r="S27" s="10" t="s">
        <v>51</v>
      </c>
      <c r="T27" s="8">
        <v>-5.6991229840925799</v>
      </c>
      <c r="U27" s="9">
        <v>1.8607228386051999</v>
      </c>
      <c r="V27" s="9">
        <v>-3.0628543197570601</v>
      </c>
      <c r="W27" s="9">
        <v>2.1923676098560799E-3</v>
      </c>
      <c r="X27" s="10" t="s">
        <v>29</v>
      </c>
    </row>
    <row r="28" spans="2:24" x14ac:dyDescent="0.2">
      <c r="B28" t="s">
        <v>70</v>
      </c>
      <c r="C28">
        <v>82</v>
      </c>
      <c r="J28" s="10">
        <v>15</v>
      </c>
      <c r="K28" s="10" t="s">
        <v>84</v>
      </c>
      <c r="L28" s="8">
        <v>-2.4188998133176298</v>
      </c>
      <c r="M28" s="9">
        <v>1.2611816586417199</v>
      </c>
      <c r="N28" s="9">
        <v>-1.91796304421581</v>
      </c>
      <c r="O28" s="9">
        <v>5.51156972651487E-2</v>
      </c>
      <c r="P28" s="10" t="s">
        <v>29</v>
      </c>
      <c r="R28" s="10">
        <v>15</v>
      </c>
      <c r="S28" s="10" t="s">
        <v>80</v>
      </c>
      <c r="T28" s="8">
        <v>3.8284988256124102</v>
      </c>
      <c r="U28" s="9">
        <v>0.864227273960821</v>
      </c>
      <c r="V28" s="9">
        <v>4.42996760338991</v>
      </c>
      <c r="W28" s="9">
        <v>9.4247245454592792E-6</v>
      </c>
      <c r="X28" s="10" t="s">
        <v>29</v>
      </c>
    </row>
    <row r="29" spans="2:24" x14ac:dyDescent="0.2">
      <c r="B29" t="s">
        <v>71</v>
      </c>
      <c r="C29" s="20">
        <v>-188.81200000000001</v>
      </c>
      <c r="J29" s="10">
        <v>16</v>
      </c>
      <c r="K29" s="10" t="s">
        <v>37</v>
      </c>
      <c r="L29" s="8">
        <v>3.9314770849318199</v>
      </c>
      <c r="M29" s="9">
        <v>0.90146711187357798</v>
      </c>
      <c r="N29" s="9">
        <v>4.3611985763526899</v>
      </c>
      <c r="O29" s="9">
        <v>1.29351902928842E-5</v>
      </c>
      <c r="P29" s="10" t="s">
        <v>29</v>
      </c>
      <c r="R29" s="10">
        <v>16</v>
      </c>
      <c r="S29" s="10" t="s">
        <v>81</v>
      </c>
      <c r="T29" s="7">
        <v>0</v>
      </c>
      <c r="U29" s="9">
        <v>0.26771831088481801</v>
      </c>
      <c r="V29" s="9">
        <v>0</v>
      </c>
      <c r="W29" s="9">
        <v>1</v>
      </c>
      <c r="X29" s="17" t="s">
        <v>31</v>
      </c>
    </row>
    <row r="30" spans="2:24" x14ac:dyDescent="0.2">
      <c r="B30" t="s">
        <v>72</v>
      </c>
      <c r="C30" s="20">
        <v>-95.239609999999999</v>
      </c>
      <c r="J30" s="10">
        <v>17</v>
      </c>
      <c r="K30" s="10" t="s">
        <v>52</v>
      </c>
      <c r="L30" s="8">
        <v>-5.0622021111277</v>
      </c>
      <c r="M30" s="9">
        <v>1.4122304974984701</v>
      </c>
      <c r="N30" s="9">
        <v>-3.5845438263049298</v>
      </c>
      <c r="O30" s="9">
        <v>3.3766786328759402E-4</v>
      </c>
      <c r="P30" s="10" t="s">
        <v>29</v>
      </c>
      <c r="R30" s="10">
        <v>17</v>
      </c>
      <c r="S30" s="10" t="s">
        <v>82</v>
      </c>
      <c r="T30" s="7">
        <v>0</v>
      </c>
      <c r="U30" s="9">
        <v>0.26199423163755298</v>
      </c>
      <c r="V30" s="9">
        <v>0</v>
      </c>
      <c r="W30" s="9">
        <v>1</v>
      </c>
      <c r="X30" s="17" t="s">
        <v>31</v>
      </c>
    </row>
    <row r="31" spans="2:24" x14ac:dyDescent="0.2">
      <c r="B31" t="s">
        <v>73</v>
      </c>
      <c r="C31" s="20">
        <f>-2*(C29-C30)</f>
        <v>187.14478000000003</v>
      </c>
      <c r="J31" s="10">
        <v>18</v>
      </c>
      <c r="K31" s="10" t="s">
        <v>53</v>
      </c>
      <c r="L31" s="8">
        <v>-1.32399053601162</v>
      </c>
      <c r="M31" s="9">
        <v>0.45229594564739101</v>
      </c>
      <c r="N31" s="9">
        <v>-2.9272659831529899</v>
      </c>
      <c r="O31" s="9">
        <v>3.4195629490982801E-3</v>
      </c>
      <c r="P31" s="10" t="s">
        <v>29</v>
      </c>
      <c r="R31" s="10">
        <v>18</v>
      </c>
      <c r="S31" s="10" t="s">
        <v>83</v>
      </c>
      <c r="T31" s="8">
        <v>-5.77569308667454</v>
      </c>
      <c r="U31" s="9">
        <v>3.1461743213573001</v>
      </c>
      <c r="V31" s="9">
        <v>-1.8357829213299299</v>
      </c>
      <c r="W31" s="9">
        <v>6.6389768329961199E-2</v>
      </c>
      <c r="X31" s="10" t="s">
        <v>29</v>
      </c>
    </row>
    <row r="32" spans="2:24" x14ac:dyDescent="0.2">
      <c r="B32" t="s">
        <v>74</v>
      </c>
      <c r="C32" s="20">
        <v>216.47919999999999</v>
      </c>
      <c r="J32" s="10">
        <v>19</v>
      </c>
      <c r="K32" s="10" t="s">
        <v>54</v>
      </c>
      <c r="L32" s="8">
        <v>-3.38570383745127</v>
      </c>
      <c r="M32" s="9">
        <v>2.3871458823597602</v>
      </c>
      <c r="N32" s="9">
        <v>-1.41830621348721</v>
      </c>
      <c r="O32" s="9">
        <v>0.15610138342032601</v>
      </c>
      <c r="P32" s="10" t="s">
        <v>29</v>
      </c>
      <c r="R32" s="10">
        <v>19</v>
      </c>
      <c r="S32" s="10" t="s">
        <v>84</v>
      </c>
      <c r="T32" s="8">
        <v>-2.45025253606003</v>
      </c>
      <c r="U32" s="9">
        <v>1.24503580765929</v>
      </c>
      <c r="V32" s="9">
        <v>-1.96801772365614</v>
      </c>
      <c r="W32" s="9">
        <v>4.9065998465710602E-2</v>
      </c>
      <c r="X32" s="10" t="s">
        <v>29</v>
      </c>
    </row>
    <row r="33" spans="2:24" x14ac:dyDescent="0.2">
      <c r="B33" t="s">
        <v>75</v>
      </c>
      <c r="C33" s="20">
        <v>247.76660000000001</v>
      </c>
      <c r="J33" s="19">
        <v>20</v>
      </c>
      <c r="K33" s="19" t="s">
        <v>55</v>
      </c>
      <c r="L33" s="23">
        <v>-7.6826897068002298</v>
      </c>
      <c r="M33" s="18">
        <v>1.85506229664547</v>
      </c>
      <c r="N33" s="18">
        <v>-4.14147261830123</v>
      </c>
      <c r="O33" s="18">
        <v>3.4508307437786101E-5</v>
      </c>
      <c r="P33" s="19" t="s">
        <v>29</v>
      </c>
      <c r="R33" s="10">
        <v>20</v>
      </c>
      <c r="S33" s="10" t="s">
        <v>37</v>
      </c>
      <c r="T33" s="8">
        <v>3.99418297113094</v>
      </c>
      <c r="U33" s="9">
        <v>0.94232521730114505</v>
      </c>
      <c r="V33" s="9">
        <v>4.2386459555549498</v>
      </c>
      <c r="W33" s="9">
        <v>2.2487196468912099E-5</v>
      </c>
      <c r="X33" s="10" t="s">
        <v>29</v>
      </c>
    </row>
    <row r="34" spans="2:24" x14ac:dyDescent="0.2">
      <c r="J34" s="28" t="s">
        <v>43</v>
      </c>
      <c r="K34" s="28"/>
      <c r="L34" s="28"/>
      <c r="M34" s="28"/>
      <c r="N34" s="28"/>
      <c r="O34" s="28"/>
      <c r="P34" s="28"/>
      <c r="R34" s="10">
        <v>21</v>
      </c>
      <c r="S34" s="10" t="s">
        <v>52</v>
      </c>
      <c r="T34" s="8">
        <v>-5.0828415010754302</v>
      </c>
      <c r="U34" s="9">
        <v>1.4049481007476301</v>
      </c>
      <c r="V34" s="9">
        <v>-3.6178144220207402</v>
      </c>
      <c r="W34" s="9">
        <v>2.9710129444793199E-4</v>
      </c>
      <c r="X34" s="10" t="s">
        <v>29</v>
      </c>
    </row>
    <row r="35" spans="2:24" x14ac:dyDescent="0.2">
      <c r="B35" s="14" t="s">
        <v>78</v>
      </c>
      <c r="C35" s="14"/>
      <c r="D35" s="14"/>
      <c r="E35" s="14"/>
      <c r="F35" s="14"/>
      <c r="G35" s="14"/>
      <c r="H35" s="14"/>
      <c r="J35" t="s">
        <v>69</v>
      </c>
      <c r="K35">
        <v>21</v>
      </c>
      <c r="L35" s="12"/>
      <c r="M35" s="12"/>
      <c r="N35" s="12"/>
      <c r="O35" s="12"/>
      <c r="R35" s="10">
        <v>22</v>
      </c>
      <c r="S35" s="10" t="s">
        <v>53</v>
      </c>
      <c r="T35" s="8">
        <v>-1.28690149894761</v>
      </c>
      <c r="U35" s="9">
        <v>0.40415519575883102</v>
      </c>
      <c r="V35" s="9">
        <v>-3.1841765550764798</v>
      </c>
      <c r="W35" s="9">
        <v>1.4516644154591799E-3</v>
      </c>
      <c r="X35" s="10" t="s">
        <v>29</v>
      </c>
    </row>
    <row r="36" spans="2:24" x14ac:dyDescent="0.2">
      <c r="B36" s="1" t="s">
        <v>68</v>
      </c>
      <c r="C36" s="1"/>
      <c r="D36" s="1"/>
      <c r="E36" s="1"/>
      <c r="F36" s="1"/>
      <c r="G36" s="1"/>
      <c r="H36" s="1"/>
      <c r="J36" t="s">
        <v>70</v>
      </c>
      <c r="K36">
        <v>82</v>
      </c>
      <c r="L36" s="12"/>
      <c r="M36" s="12"/>
      <c r="N36" s="12"/>
      <c r="O36" s="12"/>
      <c r="R36" s="10">
        <v>23</v>
      </c>
      <c r="S36" s="10" t="s">
        <v>54</v>
      </c>
      <c r="T36" s="8">
        <v>-3.5920012158049799</v>
      </c>
      <c r="U36" s="9">
        <v>2.4605857563653699</v>
      </c>
      <c r="V36" s="9">
        <v>-1.45981549576669</v>
      </c>
      <c r="W36" s="9">
        <v>0.14434078862830699</v>
      </c>
      <c r="X36" s="10" t="s">
        <v>29</v>
      </c>
    </row>
    <row r="37" spans="2:24" x14ac:dyDescent="0.2">
      <c r="J37" t="s">
        <v>71</v>
      </c>
      <c r="K37" s="20">
        <v>-188.81200000000001</v>
      </c>
      <c r="L37" s="12"/>
      <c r="M37" s="12"/>
      <c r="N37" s="12"/>
      <c r="O37" s="12"/>
      <c r="R37" s="10">
        <v>24</v>
      </c>
      <c r="S37" s="10" t="s">
        <v>55</v>
      </c>
      <c r="T37" s="8">
        <v>-7.8672487926854497</v>
      </c>
      <c r="U37" s="9">
        <v>1.8260759248653899</v>
      </c>
      <c r="V37" s="9">
        <v>-4.3082813181852604</v>
      </c>
      <c r="W37" s="9">
        <v>1.64528037351896E-5</v>
      </c>
      <c r="X37" s="10" t="s">
        <v>29</v>
      </c>
    </row>
    <row r="38" spans="2:24" x14ac:dyDescent="0.2">
      <c r="B38" t="s">
        <v>64</v>
      </c>
      <c r="C38">
        <f>K35-C27</f>
        <v>8</v>
      </c>
      <c r="J38" t="s">
        <v>72</v>
      </c>
      <c r="K38" s="20">
        <v>-75.55829</v>
      </c>
      <c r="L38" s="12"/>
      <c r="M38" s="12"/>
      <c r="N38" s="12"/>
      <c r="O38" s="12"/>
      <c r="R38" s="28" t="s">
        <v>43</v>
      </c>
      <c r="S38" s="28"/>
      <c r="T38" s="28"/>
      <c r="U38" s="28"/>
      <c r="V38" s="28"/>
      <c r="W38" s="28"/>
      <c r="X38" s="28"/>
    </row>
    <row r="39" spans="2:24" x14ac:dyDescent="0.2">
      <c r="B39" t="s">
        <v>65</v>
      </c>
      <c r="C39" s="20">
        <f>-2*(C30-K38)</f>
        <v>39.362639999999999</v>
      </c>
      <c r="J39" t="s">
        <v>73</v>
      </c>
      <c r="K39" s="20">
        <f>-2*(K37-K38)</f>
        <v>226.50742000000002</v>
      </c>
      <c r="L39" s="12"/>
      <c r="M39" s="12"/>
      <c r="N39" s="12"/>
      <c r="O39" s="12"/>
      <c r="R39" t="s">
        <v>69</v>
      </c>
      <c r="S39">
        <v>25</v>
      </c>
    </row>
    <row r="40" spans="2:24" ht="20" x14ac:dyDescent="0.25">
      <c r="B40" t="s">
        <v>66</v>
      </c>
      <c r="C40">
        <v>15.507</v>
      </c>
      <c r="D40" s="16" t="s">
        <v>7</v>
      </c>
      <c r="E40" s="27" t="str">
        <f>IF(C39&lt;C40,"H0 cannot be rejected","H0 rejected")</f>
        <v>H0 rejected</v>
      </c>
      <c r="F40" s="27"/>
      <c r="G40" s="27"/>
      <c r="H40" s="27"/>
      <c r="J40" t="s">
        <v>74</v>
      </c>
      <c r="K40" s="20">
        <v>193.11660000000001</v>
      </c>
      <c r="R40" t="s">
        <v>70</v>
      </c>
      <c r="S40">
        <v>82</v>
      </c>
    </row>
    <row r="41" spans="2:24" x14ac:dyDescent="0.2">
      <c r="J41" t="s">
        <v>75</v>
      </c>
      <c r="K41" s="20">
        <v>243.65770000000001</v>
      </c>
      <c r="R41" t="s">
        <v>71</v>
      </c>
      <c r="S41" s="20">
        <v>-188.81200000000001</v>
      </c>
    </row>
    <row r="42" spans="2:24" x14ac:dyDescent="0.2">
      <c r="R42" t="s">
        <v>72</v>
      </c>
      <c r="S42" s="20">
        <v>-74.503860000000003</v>
      </c>
    </row>
    <row r="43" spans="2:24" x14ac:dyDescent="0.2">
      <c r="J43" s="14" t="s">
        <v>79</v>
      </c>
      <c r="K43" s="14"/>
      <c r="L43" s="14"/>
      <c r="M43" s="14"/>
      <c r="N43" s="14"/>
      <c r="O43" s="14"/>
      <c r="P43" s="14"/>
      <c r="R43" t="s">
        <v>73</v>
      </c>
      <c r="S43" s="20">
        <f>-2*(S41-S42)</f>
        <v>228.61628000000002</v>
      </c>
    </row>
    <row r="44" spans="2:24" x14ac:dyDescent="0.2">
      <c r="J44" s="1" t="s">
        <v>67</v>
      </c>
      <c r="K44" s="1"/>
      <c r="L44" s="1"/>
      <c r="M44" s="1"/>
      <c r="N44" s="1"/>
      <c r="O44" s="1"/>
      <c r="P44" s="1"/>
      <c r="R44" t="s">
        <v>74</v>
      </c>
      <c r="S44" s="20">
        <v>199.0077</v>
      </c>
    </row>
    <row r="45" spans="2:24" x14ac:dyDescent="0.2">
      <c r="R45" t="s">
        <v>75</v>
      </c>
      <c r="S45" s="20">
        <v>259.17570000000001</v>
      </c>
    </row>
    <row r="46" spans="2:24" x14ac:dyDescent="0.2">
      <c r="J46" t="s">
        <v>64</v>
      </c>
      <c r="K46">
        <f>COUNTA(S13:S37)-COUNTA(K13:K33)</f>
        <v>4</v>
      </c>
    </row>
    <row r="47" spans="2:24" x14ac:dyDescent="0.2">
      <c r="J47" t="s">
        <v>65</v>
      </c>
      <c r="K47" s="15">
        <f>-2*(K38-S42)</f>
        <v>2.1088599999999929</v>
      </c>
    </row>
    <row r="48" spans="2:24" ht="20" x14ac:dyDescent="0.25">
      <c r="J48" t="s">
        <v>66</v>
      </c>
      <c r="K48">
        <v>9.4879999999999995</v>
      </c>
      <c r="L48" s="16" t="s">
        <v>7</v>
      </c>
      <c r="M48" s="27" t="str">
        <f>IF(K47&lt;K48,"H0 cannot be rejected","H0 rejected")</f>
        <v>H0 cannot be rejected</v>
      </c>
      <c r="N48" s="27"/>
      <c r="O48" s="27"/>
      <c r="P48" s="27"/>
    </row>
  </sheetData>
  <mergeCells count="8">
    <mergeCell ref="J11:P11"/>
    <mergeCell ref="R11:X11"/>
    <mergeCell ref="E40:H40"/>
    <mergeCell ref="M48:P48"/>
    <mergeCell ref="R38:X38"/>
    <mergeCell ref="B26:H26"/>
    <mergeCell ref="J34:P34"/>
    <mergeCell ref="B11:H11"/>
  </mergeCells>
  <conditionalFormatting sqref="E40">
    <cfRule type="cellIs" dxfId="25" priority="3" operator="equal">
      <formula>"H0 cannot be rejected"</formula>
    </cfRule>
    <cfRule type="cellIs" dxfId="24" priority="4" operator="equal">
      <formula>"H0 rejected"</formula>
    </cfRule>
  </conditionalFormatting>
  <conditionalFormatting sqref="M48">
    <cfRule type="cellIs" dxfId="19" priority="1" operator="equal">
      <formula>"H0 cannot be rejected"</formula>
    </cfRule>
    <cfRule type="cellIs" dxfId="18" priority="2" operator="equal">
      <formula>"H0 rejected"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0BEC-FCAB-8846-88BA-54E7ED3DCD7F}">
  <sheetPr>
    <tabColor rgb="FF00B0F0"/>
  </sheetPr>
  <dimension ref="B2:X45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21" t="s">
        <v>18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4" spans="2:24" x14ac:dyDescent="0.2">
      <c r="B4" s="19" t="s">
        <v>76</v>
      </c>
      <c r="C4" s="19" t="s">
        <v>77</v>
      </c>
      <c r="D4" s="2"/>
      <c r="E4" s="2"/>
      <c r="F4" s="2"/>
    </row>
    <row r="5" spans="2:24" x14ac:dyDescent="0.2">
      <c r="B5" s="10" t="s">
        <v>0</v>
      </c>
      <c r="C5" s="5" t="s">
        <v>5</v>
      </c>
      <c r="D5" s="2"/>
      <c r="E5" s="2"/>
      <c r="F5" s="2"/>
    </row>
    <row r="6" spans="2:24" x14ac:dyDescent="0.2">
      <c r="B6" s="10" t="s">
        <v>1</v>
      </c>
      <c r="C6" s="5" t="s">
        <v>5</v>
      </c>
      <c r="D6" s="2"/>
      <c r="E6" s="2"/>
      <c r="F6" s="2"/>
    </row>
    <row r="7" spans="2:24" x14ac:dyDescent="0.2">
      <c r="B7" s="10" t="s">
        <v>19</v>
      </c>
      <c r="C7" s="5" t="s">
        <v>5</v>
      </c>
      <c r="D7" s="2"/>
      <c r="E7" s="2"/>
      <c r="F7" s="2"/>
    </row>
    <row r="8" spans="2:24" x14ac:dyDescent="0.2">
      <c r="B8" s="10" t="s">
        <v>2</v>
      </c>
      <c r="C8" s="5" t="s">
        <v>5</v>
      </c>
      <c r="D8" s="2"/>
      <c r="E8" s="2"/>
      <c r="F8" s="2"/>
    </row>
    <row r="9" spans="2:24" x14ac:dyDescent="0.2">
      <c r="B9" s="10" t="s">
        <v>3</v>
      </c>
      <c r="C9" s="5" t="s">
        <v>6</v>
      </c>
      <c r="D9" s="2"/>
      <c r="E9" s="2"/>
      <c r="F9" s="2"/>
    </row>
    <row r="11" spans="2:24" x14ac:dyDescent="0.2">
      <c r="B11" s="26" t="s">
        <v>94</v>
      </c>
      <c r="C11" s="26"/>
      <c r="D11" s="26"/>
      <c r="E11" s="26"/>
      <c r="F11" s="26"/>
      <c r="G11" s="26"/>
      <c r="H11" s="26"/>
      <c r="J11" s="26" t="s">
        <v>93</v>
      </c>
      <c r="K11" s="26"/>
      <c r="L11" s="26"/>
      <c r="M11" s="26"/>
      <c r="N11" s="26"/>
      <c r="O11" s="26"/>
      <c r="P11" s="26"/>
      <c r="R11" s="26" t="s">
        <v>95</v>
      </c>
      <c r="S11" s="26"/>
      <c r="T11" s="26"/>
      <c r="U11" s="26"/>
      <c r="V11" s="26"/>
      <c r="W11" s="26"/>
      <c r="X11" s="26"/>
    </row>
    <row r="12" spans="2:24" x14ac:dyDescent="0.2">
      <c r="B12" s="11" t="s">
        <v>42</v>
      </c>
      <c r="C12" s="11" t="s">
        <v>22</v>
      </c>
      <c r="D12" s="13" t="s">
        <v>23</v>
      </c>
      <c r="E12" s="13" t="s">
        <v>24</v>
      </c>
      <c r="F12" s="13" t="s">
        <v>25</v>
      </c>
      <c r="G12" s="13" t="s">
        <v>26</v>
      </c>
      <c r="H12" s="11" t="s">
        <v>27</v>
      </c>
      <c r="J12" s="11" t="s">
        <v>42</v>
      </c>
      <c r="K12" s="11" t="s">
        <v>22</v>
      </c>
      <c r="L12" s="11" t="s">
        <v>23</v>
      </c>
      <c r="M12" s="11" t="s">
        <v>24</v>
      </c>
      <c r="N12" s="11" t="s">
        <v>25</v>
      </c>
      <c r="O12" s="11" t="s">
        <v>26</v>
      </c>
      <c r="P12" s="11" t="s">
        <v>27</v>
      </c>
      <c r="R12" s="11" t="s">
        <v>42</v>
      </c>
      <c r="S12" s="11" t="s">
        <v>22</v>
      </c>
      <c r="T12" s="11" t="s">
        <v>23</v>
      </c>
      <c r="U12" s="11" t="s">
        <v>24</v>
      </c>
      <c r="V12" s="11" t="s">
        <v>25</v>
      </c>
      <c r="W12" s="11" t="s">
        <v>26</v>
      </c>
      <c r="X12" s="11" t="s">
        <v>27</v>
      </c>
    </row>
    <row r="13" spans="2:24" x14ac:dyDescent="0.2">
      <c r="B13" s="10">
        <v>0</v>
      </c>
      <c r="C13" s="10" t="s">
        <v>28</v>
      </c>
      <c r="D13" s="8">
        <v>0.82973786443170905</v>
      </c>
      <c r="E13" s="9">
        <v>0.44176722433701798</v>
      </c>
      <c r="F13" s="9">
        <v>1.8782241386896401</v>
      </c>
      <c r="G13" s="9">
        <v>6.0350509308119298E-2</v>
      </c>
      <c r="H13" s="10" t="s">
        <v>29</v>
      </c>
      <c r="J13" s="10">
        <v>0</v>
      </c>
      <c r="K13" s="10" t="s">
        <v>28</v>
      </c>
      <c r="L13" s="8">
        <v>0.96951703443854897</v>
      </c>
      <c r="M13" s="9">
        <v>0.48198426928417498</v>
      </c>
      <c r="N13" s="9">
        <v>2.0115117779226201</v>
      </c>
      <c r="O13" s="9">
        <v>4.4271427533660201E-2</v>
      </c>
      <c r="P13" s="10" t="s">
        <v>29</v>
      </c>
      <c r="R13" s="10">
        <v>0</v>
      </c>
      <c r="S13" s="10" t="s">
        <v>28</v>
      </c>
      <c r="T13" s="8">
        <v>0.96190110511919902</v>
      </c>
      <c r="U13" s="9">
        <v>0.64067371442121301</v>
      </c>
      <c r="V13" s="9">
        <v>1.50138999535541</v>
      </c>
      <c r="W13" s="9">
        <v>0.133254720038813</v>
      </c>
      <c r="X13" s="10" t="s">
        <v>29</v>
      </c>
    </row>
    <row r="14" spans="2:24" x14ac:dyDescent="0.2">
      <c r="B14" s="10">
        <v>1</v>
      </c>
      <c r="C14" s="10" t="s">
        <v>30</v>
      </c>
      <c r="D14" s="7">
        <v>0</v>
      </c>
      <c r="E14" s="9">
        <v>0.129779859057117</v>
      </c>
      <c r="F14" s="9">
        <v>0</v>
      </c>
      <c r="G14" s="9">
        <v>1</v>
      </c>
      <c r="H14" s="17" t="s">
        <v>31</v>
      </c>
      <c r="J14" s="10">
        <v>1</v>
      </c>
      <c r="K14" s="10" t="s">
        <v>44</v>
      </c>
      <c r="L14" s="7">
        <v>0</v>
      </c>
      <c r="M14" s="9">
        <v>0.20233994637380801</v>
      </c>
      <c r="N14" s="9">
        <v>0</v>
      </c>
      <c r="O14" s="9">
        <v>1</v>
      </c>
      <c r="P14" s="17" t="s">
        <v>31</v>
      </c>
      <c r="R14" s="10">
        <v>1</v>
      </c>
      <c r="S14" s="10" t="s">
        <v>56</v>
      </c>
      <c r="T14" s="7">
        <v>0</v>
      </c>
      <c r="U14" s="9">
        <v>0.33181266910409402</v>
      </c>
      <c r="V14" s="9">
        <v>0</v>
      </c>
      <c r="W14" s="9">
        <v>1</v>
      </c>
      <c r="X14" s="17" t="s">
        <v>31</v>
      </c>
    </row>
    <row r="15" spans="2:24" x14ac:dyDescent="0.2">
      <c r="B15" s="10">
        <v>2</v>
      </c>
      <c r="C15" s="10" t="s">
        <v>32</v>
      </c>
      <c r="D15" s="7">
        <v>0</v>
      </c>
      <c r="E15" s="9">
        <v>0.112760159574431</v>
      </c>
      <c r="F15" s="9">
        <v>0</v>
      </c>
      <c r="G15" s="9">
        <v>1</v>
      </c>
      <c r="H15" s="17" t="s">
        <v>31</v>
      </c>
      <c r="J15" s="10">
        <v>2</v>
      </c>
      <c r="K15" s="10" t="s">
        <v>45</v>
      </c>
      <c r="L15" s="7">
        <v>0</v>
      </c>
      <c r="M15" s="9">
        <v>0.162856964146501</v>
      </c>
      <c r="N15" s="9">
        <v>0</v>
      </c>
      <c r="O15" s="9">
        <v>1</v>
      </c>
      <c r="P15" s="17" t="s">
        <v>31</v>
      </c>
      <c r="R15" s="10">
        <v>2</v>
      </c>
      <c r="S15" s="10" t="s">
        <v>57</v>
      </c>
      <c r="T15" s="7">
        <v>0</v>
      </c>
      <c r="U15" s="9">
        <v>0.35285555268037699</v>
      </c>
      <c r="V15" s="9">
        <v>0</v>
      </c>
      <c r="W15" s="9">
        <v>1</v>
      </c>
      <c r="X15" s="17" t="s">
        <v>31</v>
      </c>
    </row>
    <row r="16" spans="2:24" x14ac:dyDescent="0.2">
      <c r="B16" s="10">
        <v>3</v>
      </c>
      <c r="C16" s="10" t="s">
        <v>33</v>
      </c>
      <c r="D16" s="7">
        <v>0</v>
      </c>
      <c r="E16" s="9">
        <v>0.20212208721214001</v>
      </c>
      <c r="F16" s="9">
        <v>0</v>
      </c>
      <c r="G16" s="9">
        <v>1</v>
      </c>
      <c r="H16" s="17" t="s">
        <v>31</v>
      </c>
      <c r="J16" s="10">
        <v>3</v>
      </c>
      <c r="K16" s="10" t="s">
        <v>46</v>
      </c>
      <c r="L16" s="7">
        <v>0</v>
      </c>
      <c r="M16" s="9">
        <v>0.29553327633151599</v>
      </c>
      <c r="N16" s="9">
        <v>0</v>
      </c>
      <c r="O16" s="9">
        <v>1</v>
      </c>
      <c r="P16" s="17" t="s">
        <v>31</v>
      </c>
      <c r="R16" s="10">
        <v>3</v>
      </c>
      <c r="S16" s="10" t="s">
        <v>58</v>
      </c>
      <c r="T16" s="7">
        <v>0</v>
      </c>
      <c r="U16" s="9">
        <v>0.41180080882630599</v>
      </c>
      <c r="V16" s="9">
        <v>0</v>
      </c>
      <c r="W16" s="9">
        <v>1</v>
      </c>
      <c r="X16" s="17" t="s">
        <v>31</v>
      </c>
    </row>
    <row r="17" spans="2:24" x14ac:dyDescent="0.2">
      <c r="B17" s="10">
        <v>4</v>
      </c>
      <c r="C17" s="10" t="s">
        <v>34</v>
      </c>
      <c r="D17" s="8">
        <v>-0.21160392904181799</v>
      </c>
      <c r="E17" s="9">
        <v>8.35046720234843E-2</v>
      </c>
      <c r="F17" s="9">
        <v>-2.53403700552597</v>
      </c>
      <c r="G17" s="9">
        <v>1.12756823419681E-2</v>
      </c>
      <c r="H17" s="10" t="s">
        <v>29</v>
      </c>
      <c r="J17" s="10">
        <v>4</v>
      </c>
      <c r="K17" s="10" t="s">
        <v>47</v>
      </c>
      <c r="L17" s="8">
        <v>-1.2515530060466301E-2</v>
      </c>
      <c r="M17" s="9">
        <v>7.4624297520174201E-2</v>
      </c>
      <c r="N17" s="9">
        <v>-0.16771387438632601</v>
      </c>
      <c r="O17" s="9">
        <v>0.86680838061930499</v>
      </c>
      <c r="P17" s="10" t="s">
        <v>29</v>
      </c>
      <c r="R17" s="10">
        <v>4</v>
      </c>
      <c r="S17" s="10" t="s">
        <v>59</v>
      </c>
      <c r="T17" s="7">
        <v>0</v>
      </c>
      <c r="U17" s="9">
        <v>0.17295574110694401</v>
      </c>
      <c r="V17" s="9">
        <v>0</v>
      </c>
      <c r="W17" s="9">
        <v>1</v>
      </c>
      <c r="X17" s="17" t="s">
        <v>31</v>
      </c>
    </row>
    <row r="18" spans="2:24" x14ac:dyDescent="0.2">
      <c r="B18" s="10">
        <v>5</v>
      </c>
      <c r="C18" s="10" t="s">
        <v>35</v>
      </c>
      <c r="D18" s="8">
        <v>1.48348694557519</v>
      </c>
      <c r="E18" s="9">
        <v>0.46415672641814698</v>
      </c>
      <c r="F18" s="9">
        <v>3.19609058996758</v>
      </c>
      <c r="G18" s="9">
        <v>1.39303367129173E-3</v>
      </c>
      <c r="H18" s="10" t="s">
        <v>29</v>
      </c>
      <c r="J18" s="10">
        <v>5</v>
      </c>
      <c r="K18" s="10" t="s">
        <v>35</v>
      </c>
      <c r="L18" s="8">
        <v>1.89411268686276</v>
      </c>
      <c r="M18" s="9">
        <v>0.72217995214540798</v>
      </c>
      <c r="N18" s="9">
        <v>2.62277107144258</v>
      </c>
      <c r="O18" s="9">
        <v>8.7217855265664303E-3</v>
      </c>
      <c r="P18" s="10" t="s">
        <v>29</v>
      </c>
      <c r="R18" s="10">
        <v>5</v>
      </c>
      <c r="S18" s="10" t="s">
        <v>35</v>
      </c>
      <c r="T18" s="8">
        <v>2.0543720911425098</v>
      </c>
      <c r="U18" s="9">
        <v>0.84691746088234598</v>
      </c>
      <c r="V18" s="9">
        <v>2.42570520272684</v>
      </c>
      <c r="W18" s="9">
        <v>1.52786754844427E-2</v>
      </c>
      <c r="X18" s="10" t="s">
        <v>29</v>
      </c>
    </row>
    <row r="19" spans="2:24" x14ac:dyDescent="0.2">
      <c r="B19" s="10">
        <v>6</v>
      </c>
      <c r="C19" s="10" t="s">
        <v>86</v>
      </c>
      <c r="D19" s="8">
        <v>0.124257960686567</v>
      </c>
      <c r="E19" s="9">
        <v>0.54767320625280003</v>
      </c>
      <c r="F19" s="9">
        <v>0.22688340285394701</v>
      </c>
      <c r="G19" s="9">
        <v>0.82051440814596799</v>
      </c>
      <c r="H19" s="10" t="s">
        <v>29</v>
      </c>
      <c r="J19" s="10">
        <v>6</v>
      </c>
      <c r="K19" s="10" t="s">
        <v>86</v>
      </c>
      <c r="L19" s="7">
        <v>0</v>
      </c>
      <c r="M19" s="9">
        <v>0.62867714568683597</v>
      </c>
      <c r="N19" s="9">
        <v>0</v>
      </c>
      <c r="O19" s="9">
        <v>1</v>
      </c>
      <c r="P19" s="17" t="s">
        <v>31</v>
      </c>
      <c r="R19" s="10">
        <v>6</v>
      </c>
      <c r="S19" s="10" t="s">
        <v>60</v>
      </c>
      <c r="T19" s="7">
        <v>0</v>
      </c>
      <c r="U19" s="9">
        <v>0.55341225682505701</v>
      </c>
      <c r="V19" s="9">
        <v>0</v>
      </c>
      <c r="W19" s="9">
        <v>1</v>
      </c>
      <c r="X19" s="17" t="s">
        <v>31</v>
      </c>
    </row>
    <row r="20" spans="2:24" x14ac:dyDescent="0.2">
      <c r="B20" s="10">
        <v>7</v>
      </c>
      <c r="C20" s="10" t="s">
        <v>36</v>
      </c>
      <c r="D20" s="8">
        <v>3.4129219449982502</v>
      </c>
      <c r="E20" s="9">
        <v>0.55384414863089904</v>
      </c>
      <c r="F20" s="9">
        <v>6.1622424890377197</v>
      </c>
      <c r="G20" s="9">
        <v>7.1721917294098603E-10</v>
      </c>
      <c r="H20" s="10" t="s">
        <v>29</v>
      </c>
      <c r="J20" s="10">
        <v>7</v>
      </c>
      <c r="K20" s="10" t="s">
        <v>36</v>
      </c>
      <c r="L20" s="8">
        <v>4.9963291995269898</v>
      </c>
      <c r="M20" s="9">
        <v>0.98391981836797504</v>
      </c>
      <c r="N20" s="9">
        <v>5.0779841062805202</v>
      </c>
      <c r="O20" s="9">
        <v>3.8146059688770601E-7</v>
      </c>
      <c r="P20" s="10" t="s">
        <v>29</v>
      </c>
      <c r="R20" s="10">
        <v>7</v>
      </c>
      <c r="S20" s="10" t="s">
        <v>61</v>
      </c>
      <c r="T20" s="7">
        <v>0</v>
      </c>
      <c r="U20" s="9">
        <v>0.50716889595200898</v>
      </c>
      <c r="V20" s="9">
        <v>0</v>
      </c>
      <c r="W20" s="9">
        <v>1</v>
      </c>
      <c r="X20" s="17" t="s">
        <v>31</v>
      </c>
    </row>
    <row r="21" spans="2:24" x14ac:dyDescent="0.2">
      <c r="B21" s="10">
        <v>8</v>
      </c>
      <c r="C21" s="10" t="s">
        <v>37</v>
      </c>
      <c r="D21" s="8">
        <v>3.1046629720090499</v>
      </c>
      <c r="E21" s="9">
        <v>0.65574831826661095</v>
      </c>
      <c r="F21" s="9">
        <v>4.7345344021862603</v>
      </c>
      <c r="G21" s="9">
        <v>2.1955852984589699E-6</v>
      </c>
      <c r="H21" s="10" t="s">
        <v>29</v>
      </c>
      <c r="J21" s="10">
        <v>8</v>
      </c>
      <c r="K21" s="10" t="s">
        <v>48</v>
      </c>
      <c r="L21" s="7">
        <v>0</v>
      </c>
      <c r="M21" s="9">
        <v>0.205909371450927</v>
      </c>
      <c r="N21" s="9">
        <v>0</v>
      </c>
      <c r="O21" s="9">
        <v>1</v>
      </c>
      <c r="P21" s="17" t="s">
        <v>31</v>
      </c>
      <c r="R21" s="10">
        <v>8</v>
      </c>
      <c r="S21" s="10" t="s">
        <v>62</v>
      </c>
      <c r="T21" s="7">
        <v>0</v>
      </c>
      <c r="U21" s="9">
        <v>0.77392769782327997</v>
      </c>
      <c r="V21" s="9">
        <v>0</v>
      </c>
      <c r="W21" s="9">
        <v>1</v>
      </c>
      <c r="X21" s="17" t="s">
        <v>31</v>
      </c>
    </row>
    <row r="22" spans="2:24" x14ac:dyDescent="0.2">
      <c r="B22" s="10">
        <v>9</v>
      </c>
      <c r="C22" s="10" t="s">
        <v>38</v>
      </c>
      <c r="D22" s="7">
        <v>0</v>
      </c>
      <c r="E22" s="9">
        <v>0.18627762731391101</v>
      </c>
      <c r="F22" s="9">
        <v>0</v>
      </c>
      <c r="G22" s="9">
        <v>1</v>
      </c>
      <c r="H22" s="17" t="s">
        <v>31</v>
      </c>
      <c r="J22" s="10">
        <v>9</v>
      </c>
      <c r="K22" s="10" t="s">
        <v>49</v>
      </c>
      <c r="L22" s="8">
        <v>-7.9843524641001695E-2</v>
      </c>
      <c r="M22" s="9">
        <v>0.228728521289983</v>
      </c>
      <c r="N22" s="9">
        <v>-0.34907550746492</v>
      </c>
      <c r="O22" s="9">
        <v>0.727032623610678</v>
      </c>
      <c r="P22" s="10" t="s">
        <v>29</v>
      </c>
      <c r="R22" s="10">
        <v>9</v>
      </c>
      <c r="S22" s="10" t="s">
        <v>63</v>
      </c>
      <c r="T22" s="8">
        <v>-0.11741280989544001</v>
      </c>
      <c r="U22" s="9">
        <v>0.16000191659319901</v>
      </c>
      <c r="V22" s="9">
        <v>-0.73382127161613897</v>
      </c>
      <c r="W22" s="9">
        <v>0.46305767440233703</v>
      </c>
      <c r="X22" s="10" t="s">
        <v>29</v>
      </c>
    </row>
    <row r="23" spans="2:24" x14ac:dyDescent="0.2">
      <c r="B23" s="10">
        <v>10</v>
      </c>
      <c r="C23" s="10" t="s">
        <v>39</v>
      </c>
      <c r="D23" s="8">
        <v>-3.0148423878723199E-2</v>
      </c>
      <c r="E23" s="9">
        <v>0.125971518652884</v>
      </c>
      <c r="F23" s="9">
        <v>-0.239327303513721</v>
      </c>
      <c r="G23" s="9">
        <v>0.81085179533444995</v>
      </c>
      <c r="H23" s="10" t="s">
        <v>29</v>
      </c>
      <c r="J23" s="10">
        <v>10</v>
      </c>
      <c r="K23" s="10" t="s">
        <v>50</v>
      </c>
      <c r="L23" s="7">
        <v>0</v>
      </c>
      <c r="M23" s="9">
        <v>1.5566528636624</v>
      </c>
      <c r="N23" s="9">
        <v>0</v>
      </c>
      <c r="O23" s="9">
        <v>1</v>
      </c>
      <c r="P23" s="17" t="s">
        <v>31</v>
      </c>
      <c r="R23" s="10">
        <v>10</v>
      </c>
      <c r="S23" s="10" t="s">
        <v>86</v>
      </c>
      <c r="T23" s="7">
        <v>0</v>
      </c>
      <c r="U23" s="9">
        <v>0.60828119679419901</v>
      </c>
      <c r="V23" s="9">
        <v>0</v>
      </c>
      <c r="W23" s="9">
        <v>1</v>
      </c>
      <c r="X23" s="17" t="s">
        <v>31</v>
      </c>
    </row>
    <row r="24" spans="2:24" x14ac:dyDescent="0.2">
      <c r="B24" s="10">
        <v>11</v>
      </c>
      <c r="C24" s="10" t="s">
        <v>40</v>
      </c>
      <c r="D24" s="8">
        <v>-1.91816383823496E-3</v>
      </c>
      <c r="E24" s="9">
        <v>0.37567158844590798</v>
      </c>
      <c r="F24" s="9">
        <v>-5.1059592932488898E-3</v>
      </c>
      <c r="G24" s="9">
        <v>0.99592605161369896</v>
      </c>
      <c r="H24" s="10" t="s">
        <v>29</v>
      </c>
      <c r="J24" s="10">
        <v>11</v>
      </c>
      <c r="K24" s="10" t="s">
        <v>51</v>
      </c>
      <c r="L24" s="8">
        <v>-2.11432168068617</v>
      </c>
      <c r="M24" s="9">
        <v>0.48352239791870599</v>
      </c>
      <c r="N24" s="9">
        <v>-4.3727481700685296</v>
      </c>
      <c r="O24" s="9">
        <v>1.22692222550568E-5</v>
      </c>
      <c r="P24" s="10" t="s">
        <v>29</v>
      </c>
      <c r="R24" s="10">
        <v>11</v>
      </c>
      <c r="S24" s="10" t="s">
        <v>87</v>
      </c>
      <c r="T24" s="7">
        <v>0</v>
      </c>
      <c r="U24" s="9">
        <v>0.68056136542130297</v>
      </c>
      <c r="V24" s="9">
        <v>0</v>
      </c>
      <c r="W24" s="9">
        <v>1</v>
      </c>
      <c r="X24" s="17" t="s">
        <v>31</v>
      </c>
    </row>
    <row r="25" spans="2:24" x14ac:dyDescent="0.2">
      <c r="B25" s="19">
        <v>12</v>
      </c>
      <c r="C25" s="19" t="s">
        <v>41</v>
      </c>
      <c r="D25" s="23">
        <v>-0.120950114667362</v>
      </c>
      <c r="E25" s="18">
        <v>8.7833597078249698E-2</v>
      </c>
      <c r="F25" s="18">
        <v>-1.37703701875729</v>
      </c>
      <c r="G25" s="18">
        <v>0.16850080294919001</v>
      </c>
      <c r="H25" s="19" t="s">
        <v>29</v>
      </c>
      <c r="J25" s="10">
        <v>12</v>
      </c>
      <c r="K25" s="10" t="s">
        <v>37</v>
      </c>
      <c r="L25" s="8">
        <v>3.4389521349237402</v>
      </c>
      <c r="M25" s="9">
        <v>0.86372196741704899</v>
      </c>
      <c r="N25" s="9">
        <v>3.9815499253861701</v>
      </c>
      <c r="O25" s="9">
        <v>6.8467335604616099E-5</v>
      </c>
      <c r="P25" s="10" t="s">
        <v>29</v>
      </c>
      <c r="R25" s="10">
        <v>12</v>
      </c>
      <c r="S25" s="10" t="s">
        <v>88</v>
      </c>
      <c r="T25" s="7">
        <v>0</v>
      </c>
      <c r="U25" s="9">
        <v>0.64274971320235097</v>
      </c>
      <c r="V25" s="9">
        <v>0</v>
      </c>
      <c r="W25" s="9">
        <v>1</v>
      </c>
      <c r="X25" s="17" t="s">
        <v>31</v>
      </c>
    </row>
    <row r="26" spans="2:24" x14ac:dyDescent="0.2">
      <c r="B26" s="28" t="s">
        <v>43</v>
      </c>
      <c r="C26" s="28"/>
      <c r="D26" s="28"/>
      <c r="E26" s="28"/>
      <c r="F26" s="28"/>
      <c r="G26" s="28"/>
      <c r="H26" s="28"/>
      <c r="J26" s="10">
        <v>13</v>
      </c>
      <c r="K26" s="10" t="s">
        <v>52</v>
      </c>
      <c r="L26" s="7">
        <v>0</v>
      </c>
      <c r="M26" s="9">
        <v>0.227398227867844</v>
      </c>
      <c r="N26" s="9">
        <v>0</v>
      </c>
      <c r="O26" s="9">
        <v>1</v>
      </c>
      <c r="P26" s="17" t="s">
        <v>31</v>
      </c>
      <c r="R26" s="10">
        <v>13</v>
      </c>
      <c r="S26" s="10" t="s">
        <v>89</v>
      </c>
      <c r="T26" s="7">
        <v>0</v>
      </c>
      <c r="U26" s="9">
        <v>1.16813209098378</v>
      </c>
      <c r="V26" s="9">
        <v>0</v>
      </c>
      <c r="W26" s="9">
        <v>1</v>
      </c>
      <c r="X26" s="17" t="s">
        <v>31</v>
      </c>
    </row>
    <row r="27" spans="2:24" x14ac:dyDescent="0.2">
      <c r="B27" t="s">
        <v>69</v>
      </c>
      <c r="C27">
        <v>13</v>
      </c>
      <c r="J27" s="10">
        <v>14</v>
      </c>
      <c r="K27" s="10" t="s">
        <v>53</v>
      </c>
      <c r="L27" s="8">
        <v>-0.17210559958954</v>
      </c>
      <c r="M27" s="9">
        <v>0.22173780758893299</v>
      </c>
      <c r="N27" s="9">
        <v>-0.77616713839164997</v>
      </c>
      <c r="O27" s="9">
        <v>0.43765030629406199</v>
      </c>
      <c r="P27" s="10" t="s">
        <v>29</v>
      </c>
      <c r="R27" s="10">
        <v>14</v>
      </c>
      <c r="S27" s="10" t="s">
        <v>90</v>
      </c>
      <c r="T27" s="7">
        <v>0</v>
      </c>
      <c r="U27" s="9">
        <v>0.19894647500617699</v>
      </c>
      <c r="V27" s="9">
        <v>0</v>
      </c>
      <c r="W27" s="9">
        <v>1</v>
      </c>
      <c r="X27" s="17" t="s">
        <v>31</v>
      </c>
    </row>
    <row r="28" spans="2:24" x14ac:dyDescent="0.2">
      <c r="B28" t="s">
        <v>70</v>
      </c>
      <c r="C28">
        <v>113</v>
      </c>
      <c r="J28" s="10">
        <v>15</v>
      </c>
      <c r="K28" s="10" t="s">
        <v>54</v>
      </c>
      <c r="L28" s="7">
        <v>0</v>
      </c>
      <c r="M28" s="9">
        <v>0.470683665345624</v>
      </c>
      <c r="N28" s="9">
        <v>0</v>
      </c>
      <c r="O28" s="9">
        <v>1</v>
      </c>
      <c r="P28" s="17" t="s">
        <v>31</v>
      </c>
      <c r="R28" s="10">
        <v>15</v>
      </c>
      <c r="S28" s="10" t="s">
        <v>36</v>
      </c>
      <c r="T28" s="8">
        <v>5.0200398006928104</v>
      </c>
      <c r="U28" s="9">
        <v>0.96155874175311395</v>
      </c>
      <c r="V28" s="9">
        <v>5.2207312800674801</v>
      </c>
      <c r="W28" s="9">
        <v>1.7821798281580901E-7</v>
      </c>
      <c r="X28" s="10" t="s">
        <v>29</v>
      </c>
    </row>
    <row r="29" spans="2:24" x14ac:dyDescent="0.2">
      <c r="B29" t="s">
        <v>71</v>
      </c>
      <c r="C29" s="20">
        <v>-260.19209999999998</v>
      </c>
      <c r="J29" s="10">
        <v>16</v>
      </c>
      <c r="K29" s="10" t="s">
        <v>55</v>
      </c>
      <c r="L29" s="8">
        <v>-0.12567424359627399</v>
      </c>
      <c r="M29" s="9">
        <v>0.100745870361913</v>
      </c>
      <c r="N29" s="9">
        <v>-1.2474381644112</v>
      </c>
      <c r="O29" s="9">
        <v>0.21223688017054701</v>
      </c>
      <c r="P29" s="10" t="s">
        <v>29</v>
      </c>
      <c r="R29" s="10">
        <v>16</v>
      </c>
      <c r="S29" s="10" t="s">
        <v>48</v>
      </c>
      <c r="T29" s="7">
        <v>0</v>
      </c>
      <c r="U29" s="9">
        <v>0.206580728754308</v>
      </c>
      <c r="V29" s="9">
        <v>0</v>
      </c>
      <c r="W29" s="9">
        <v>1</v>
      </c>
      <c r="X29" s="17" t="s">
        <v>31</v>
      </c>
    </row>
    <row r="30" spans="2:24" x14ac:dyDescent="0.2">
      <c r="B30" t="s">
        <v>72</v>
      </c>
      <c r="C30" s="20">
        <v>-102.71429999999999</v>
      </c>
      <c r="J30" s="28" t="s">
        <v>43</v>
      </c>
      <c r="K30" s="28"/>
      <c r="L30" s="28"/>
      <c r="M30" s="28"/>
      <c r="N30" s="28"/>
      <c r="O30" s="28"/>
      <c r="P30" s="28"/>
      <c r="R30" s="10">
        <v>17</v>
      </c>
      <c r="S30" s="10" t="s">
        <v>49</v>
      </c>
      <c r="T30" s="8">
        <v>-8.10095224507143E-2</v>
      </c>
      <c r="U30" s="9">
        <v>0.22956527334070301</v>
      </c>
      <c r="V30" s="9">
        <v>-0.352882303459226</v>
      </c>
      <c r="W30" s="9">
        <v>0.724176678255807</v>
      </c>
      <c r="X30" s="10" t="s">
        <v>29</v>
      </c>
    </row>
    <row r="31" spans="2:24" x14ac:dyDescent="0.2">
      <c r="B31" t="s">
        <v>73</v>
      </c>
      <c r="C31" s="20">
        <f>-2*(C29-C30)</f>
        <v>314.9556</v>
      </c>
      <c r="J31" t="s">
        <v>69</v>
      </c>
      <c r="K31">
        <v>17</v>
      </c>
      <c r="L31" s="12"/>
      <c r="M31" s="12"/>
      <c r="N31" s="12"/>
      <c r="O31" s="12"/>
      <c r="R31" s="10">
        <v>18</v>
      </c>
      <c r="S31" s="10" t="s">
        <v>50</v>
      </c>
      <c r="T31" s="7">
        <v>0</v>
      </c>
      <c r="U31" s="9">
        <v>1.61695341900825</v>
      </c>
      <c r="V31" s="9">
        <v>0</v>
      </c>
      <c r="W31" s="9">
        <v>1</v>
      </c>
      <c r="X31" s="17" t="s">
        <v>31</v>
      </c>
    </row>
    <row r="32" spans="2:24" x14ac:dyDescent="0.2">
      <c r="B32" t="s">
        <v>74</v>
      </c>
      <c r="C32" s="20">
        <v>231.42869999999999</v>
      </c>
      <c r="J32" t="s">
        <v>70</v>
      </c>
      <c r="K32">
        <v>113</v>
      </c>
      <c r="L32" s="12"/>
      <c r="M32" s="12"/>
      <c r="N32" s="12"/>
      <c r="O32" s="12"/>
      <c r="R32" s="10">
        <v>19</v>
      </c>
      <c r="S32" s="10" t="s">
        <v>51</v>
      </c>
      <c r="T32" s="8">
        <v>-2.1707322266558902</v>
      </c>
      <c r="U32" s="9">
        <v>0.50740100254023701</v>
      </c>
      <c r="V32" s="9">
        <v>-4.2781394120003799</v>
      </c>
      <c r="W32" s="9">
        <v>1.88461978982701E-5</v>
      </c>
      <c r="X32" s="10" t="s">
        <v>29</v>
      </c>
    </row>
    <row r="33" spans="2:24" x14ac:dyDescent="0.2">
      <c r="B33" t="s">
        <v>75</v>
      </c>
      <c r="C33" s="20">
        <v>266.88470000000001</v>
      </c>
      <c r="J33" t="s">
        <v>71</v>
      </c>
      <c r="K33" s="20">
        <v>-260.19209999999998</v>
      </c>
      <c r="L33" s="12"/>
      <c r="M33" s="12"/>
      <c r="N33" s="12"/>
      <c r="O33" s="12"/>
      <c r="R33" s="10">
        <v>20</v>
      </c>
      <c r="S33" s="10" t="s">
        <v>37</v>
      </c>
      <c r="T33" s="8">
        <v>3.45085046725413</v>
      </c>
      <c r="U33" s="9">
        <v>0.83581857077736799</v>
      </c>
      <c r="V33" s="9">
        <v>4.1287075783020697</v>
      </c>
      <c r="W33" s="9">
        <v>3.64808006834138E-5</v>
      </c>
      <c r="X33" s="10" t="s">
        <v>29</v>
      </c>
    </row>
    <row r="34" spans="2:24" x14ac:dyDescent="0.2">
      <c r="J34" t="s">
        <v>72</v>
      </c>
      <c r="K34" s="20">
        <v>-71.870080000000002</v>
      </c>
      <c r="L34" s="12"/>
      <c r="M34" s="12"/>
      <c r="N34" s="12"/>
      <c r="O34" s="12"/>
      <c r="R34" s="10">
        <v>21</v>
      </c>
      <c r="S34" s="10" t="s">
        <v>52</v>
      </c>
      <c r="T34" s="7">
        <v>0</v>
      </c>
      <c r="U34" s="9">
        <v>0.22366088554138999</v>
      </c>
      <c r="V34" s="9">
        <v>0</v>
      </c>
      <c r="W34" s="9">
        <v>1</v>
      </c>
      <c r="X34" s="17" t="s">
        <v>31</v>
      </c>
    </row>
    <row r="35" spans="2:24" x14ac:dyDescent="0.2">
      <c r="B35" s="14" t="s">
        <v>78</v>
      </c>
      <c r="C35" s="14"/>
      <c r="D35" s="14"/>
      <c r="E35" s="14"/>
      <c r="F35" s="14"/>
      <c r="G35" s="14"/>
      <c r="H35" s="14"/>
      <c r="J35" t="s">
        <v>73</v>
      </c>
      <c r="K35" s="20">
        <f>-2*(K33-K34)</f>
        <v>376.64403999999996</v>
      </c>
      <c r="L35" s="12"/>
      <c r="M35" s="12"/>
      <c r="N35" s="12"/>
      <c r="O35" s="12"/>
      <c r="R35" s="10">
        <v>22</v>
      </c>
      <c r="S35" s="10" t="s">
        <v>53</v>
      </c>
      <c r="T35" s="8">
        <v>-0.17474813981704401</v>
      </c>
      <c r="U35" s="9">
        <v>0.22970096791789901</v>
      </c>
      <c r="V35" s="9">
        <v>-0.76076361976630302</v>
      </c>
      <c r="W35" s="9">
        <v>0.44679826759115499</v>
      </c>
      <c r="X35" s="10" t="s">
        <v>29</v>
      </c>
    </row>
    <row r="36" spans="2:24" x14ac:dyDescent="0.2">
      <c r="B36" s="1" t="s">
        <v>68</v>
      </c>
      <c r="C36" s="1"/>
      <c r="D36" s="1"/>
      <c r="E36" s="1"/>
      <c r="F36" s="1"/>
      <c r="G36" s="1"/>
      <c r="H36" s="1"/>
      <c r="J36" t="s">
        <v>74</v>
      </c>
      <c r="K36" s="20">
        <v>177.74019999999999</v>
      </c>
      <c r="R36" s="10">
        <v>23</v>
      </c>
      <c r="S36" s="10" t="s">
        <v>54</v>
      </c>
      <c r="T36" s="7">
        <v>0</v>
      </c>
      <c r="U36" s="9">
        <v>0.49980667531538098</v>
      </c>
      <c r="V36" s="9">
        <v>0</v>
      </c>
      <c r="W36" s="9">
        <v>1</v>
      </c>
      <c r="X36" s="17" t="s">
        <v>31</v>
      </c>
    </row>
    <row r="37" spans="2:24" x14ac:dyDescent="0.2">
      <c r="J37" t="s">
        <v>75</v>
      </c>
      <c r="K37" s="20">
        <v>224.10579999999999</v>
      </c>
      <c r="R37" s="10">
        <v>24</v>
      </c>
      <c r="S37" s="10" t="s">
        <v>55</v>
      </c>
      <c r="T37" s="8">
        <v>-0.123873274061815</v>
      </c>
      <c r="U37" s="9">
        <v>9.66870896213846E-2</v>
      </c>
      <c r="V37" s="9">
        <v>-1.2811769859542601</v>
      </c>
      <c r="W37" s="9">
        <v>0.200131507745649</v>
      </c>
      <c r="X37" s="10" t="s">
        <v>29</v>
      </c>
    </row>
    <row r="38" spans="2:24" x14ac:dyDescent="0.2">
      <c r="B38" t="s">
        <v>64</v>
      </c>
      <c r="C38">
        <f>K31-C27</f>
        <v>4</v>
      </c>
      <c r="R38" s="28" t="s">
        <v>43</v>
      </c>
      <c r="S38" s="28"/>
      <c r="T38" s="28"/>
      <c r="U38" s="28"/>
      <c r="V38" s="28"/>
      <c r="W38" s="28"/>
      <c r="X38" s="28"/>
    </row>
    <row r="39" spans="2:24" x14ac:dyDescent="0.2">
      <c r="B39" t="s">
        <v>65</v>
      </c>
      <c r="C39" s="20">
        <f>-2*(C30-K34)</f>
        <v>61.688439999999986</v>
      </c>
      <c r="J39" s="14" t="s">
        <v>79</v>
      </c>
      <c r="K39" s="14"/>
      <c r="L39" s="14"/>
      <c r="M39" s="14"/>
      <c r="N39" s="14"/>
      <c r="O39" s="14"/>
      <c r="P39" s="14"/>
      <c r="R39" t="s">
        <v>69</v>
      </c>
      <c r="S39">
        <v>25</v>
      </c>
    </row>
    <row r="40" spans="2:24" ht="20" x14ac:dyDescent="0.25">
      <c r="B40" t="s">
        <v>66</v>
      </c>
      <c r="C40">
        <v>9.4879999999999995</v>
      </c>
      <c r="D40" s="16" t="s">
        <v>7</v>
      </c>
      <c r="E40" s="27" t="str">
        <f>IF(C39&lt;C40,"H0 cannot be rejected","H0 rejected")</f>
        <v>H0 rejected</v>
      </c>
      <c r="F40" s="27"/>
      <c r="G40" s="27"/>
      <c r="H40" s="27"/>
      <c r="J40" s="1" t="s">
        <v>67</v>
      </c>
      <c r="K40" s="1"/>
      <c r="L40" s="1"/>
      <c r="M40" s="1"/>
      <c r="N40" s="1"/>
      <c r="O40" s="1"/>
      <c r="P40" s="1"/>
      <c r="R40" t="s">
        <v>70</v>
      </c>
      <c r="S40">
        <v>113</v>
      </c>
    </row>
    <row r="41" spans="2:24" x14ac:dyDescent="0.2">
      <c r="R41" t="s">
        <v>71</v>
      </c>
      <c r="S41" s="20">
        <v>-260.19209999999998</v>
      </c>
    </row>
    <row r="42" spans="2:24" x14ac:dyDescent="0.2">
      <c r="J42" t="s">
        <v>64</v>
      </c>
      <c r="K42">
        <f>COUNTA(S13:S37)-COUNTA(K13:K29)</f>
        <v>8</v>
      </c>
      <c r="R42" t="s">
        <v>72</v>
      </c>
      <c r="S42" s="20">
        <v>-71.315600000000003</v>
      </c>
    </row>
    <row r="43" spans="2:24" x14ac:dyDescent="0.2">
      <c r="J43" t="s">
        <v>65</v>
      </c>
      <c r="K43" s="15">
        <f>-2*(K34-S42)</f>
        <v>1.1089599999999962</v>
      </c>
      <c r="R43" t="s">
        <v>73</v>
      </c>
      <c r="S43" s="20">
        <f>-2*(S41-S42)</f>
        <v>377.75299999999993</v>
      </c>
    </row>
    <row r="44" spans="2:24" ht="20" x14ac:dyDescent="0.25">
      <c r="J44" t="s">
        <v>66</v>
      </c>
      <c r="K44">
        <v>15.507</v>
      </c>
      <c r="L44" s="16" t="s">
        <v>7</v>
      </c>
      <c r="M44" s="27" t="str">
        <f>IF(K43&lt;K44,"H0 cannot be rejected","H0 rejected")</f>
        <v>H0 cannot be rejected</v>
      </c>
      <c r="N44" s="27"/>
      <c r="O44" s="27"/>
      <c r="P44" s="27"/>
      <c r="R44" t="s">
        <v>74</v>
      </c>
      <c r="S44" s="20">
        <v>192.63120000000001</v>
      </c>
    </row>
    <row r="45" spans="2:24" x14ac:dyDescent="0.2">
      <c r="R45" t="s">
        <v>75</v>
      </c>
      <c r="S45" s="20">
        <v>260.8159</v>
      </c>
    </row>
  </sheetData>
  <mergeCells count="8">
    <mergeCell ref="J11:P11"/>
    <mergeCell ref="R11:X11"/>
    <mergeCell ref="J30:P30"/>
    <mergeCell ref="B11:H11"/>
    <mergeCell ref="B26:H26"/>
    <mergeCell ref="R38:X38"/>
    <mergeCell ref="E40:H40"/>
    <mergeCell ref="M44:P44"/>
  </mergeCells>
  <conditionalFormatting sqref="E40">
    <cfRule type="cellIs" dxfId="17" priority="3" operator="equal">
      <formula>"H0 cannot be rejected"</formula>
    </cfRule>
    <cfRule type="cellIs" dxfId="16" priority="4" operator="equal">
      <formula>"H0 rejected"</formula>
    </cfRule>
  </conditionalFormatting>
  <conditionalFormatting sqref="M44">
    <cfRule type="cellIs" dxfId="11" priority="1" operator="equal">
      <formula>"H0 cannot be rejected"</formula>
    </cfRule>
    <cfRule type="cellIs" dxfId="10" priority="2" operator="equal">
      <formula>"H0 rejected"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3E40A-665F-B04D-9859-142D9765DFCD}">
  <sheetPr>
    <tabColor rgb="FF00B0F0"/>
  </sheetPr>
  <dimension ref="B2:P39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21" t="s">
        <v>20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2:16" x14ac:dyDescent="0.2">
      <c r="B4" s="19" t="s">
        <v>76</v>
      </c>
      <c r="C4" s="19" t="s">
        <v>77</v>
      </c>
      <c r="D4" s="2"/>
      <c r="E4" s="2"/>
      <c r="F4" s="2"/>
    </row>
    <row r="5" spans="2:16" x14ac:dyDescent="0.2">
      <c r="B5" s="10" t="s">
        <v>0</v>
      </c>
      <c r="C5" s="5" t="s">
        <v>5</v>
      </c>
      <c r="D5" s="2"/>
      <c r="E5" s="2"/>
      <c r="F5" s="2"/>
    </row>
    <row r="6" spans="2:16" x14ac:dyDescent="0.2">
      <c r="B6" s="10" t="s">
        <v>2</v>
      </c>
      <c r="C6" s="5" t="s">
        <v>5</v>
      </c>
      <c r="D6" s="2"/>
      <c r="E6" s="2"/>
      <c r="F6" s="2"/>
    </row>
    <row r="7" spans="2:16" x14ac:dyDescent="0.2">
      <c r="B7" s="10" t="s">
        <v>11</v>
      </c>
      <c r="C7" s="5" t="s">
        <v>6</v>
      </c>
      <c r="D7" s="2"/>
      <c r="E7" s="2"/>
      <c r="F7" s="2"/>
    </row>
    <row r="8" spans="2:16" x14ac:dyDescent="0.2">
      <c r="B8" s="10" t="s">
        <v>3</v>
      </c>
      <c r="C8" s="5" t="s">
        <v>6</v>
      </c>
      <c r="D8" s="2"/>
      <c r="E8" s="2"/>
      <c r="F8" s="2"/>
    </row>
    <row r="10" spans="2:16" x14ac:dyDescent="0.2">
      <c r="B10" s="26" t="s">
        <v>94</v>
      </c>
      <c r="C10" s="26"/>
      <c r="D10" s="26"/>
      <c r="E10" s="26"/>
      <c r="F10" s="26"/>
      <c r="G10" s="26"/>
      <c r="H10" s="26"/>
      <c r="J10" s="26" t="s">
        <v>95</v>
      </c>
      <c r="K10" s="26"/>
      <c r="L10" s="26"/>
      <c r="M10" s="26"/>
      <c r="N10" s="26"/>
      <c r="O10" s="26"/>
      <c r="P10" s="26"/>
    </row>
    <row r="11" spans="2:16" x14ac:dyDescent="0.2">
      <c r="B11" s="11" t="s">
        <v>42</v>
      </c>
      <c r="C11" s="11" t="s">
        <v>22</v>
      </c>
      <c r="D11" s="13" t="s">
        <v>23</v>
      </c>
      <c r="E11" s="13" t="s">
        <v>24</v>
      </c>
      <c r="F11" s="13" t="s">
        <v>25</v>
      </c>
      <c r="G11" s="13" t="s">
        <v>26</v>
      </c>
      <c r="H11" s="11" t="s">
        <v>27</v>
      </c>
      <c r="J11" s="11" t="s">
        <v>42</v>
      </c>
      <c r="K11" s="11" t="s">
        <v>22</v>
      </c>
      <c r="L11" s="11" t="s">
        <v>23</v>
      </c>
      <c r="M11" s="11" t="s">
        <v>24</v>
      </c>
      <c r="N11" s="11" t="s">
        <v>25</v>
      </c>
      <c r="O11" s="11" t="s">
        <v>26</v>
      </c>
      <c r="P11" s="11" t="s">
        <v>27</v>
      </c>
    </row>
    <row r="12" spans="2:16" x14ac:dyDescent="0.2">
      <c r="B12" s="10">
        <v>0</v>
      </c>
      <c r="C12" s="10" t="s">
        <v>28</v>
      </c>
      <c r="D12" s="7">
        <v>0</v>
      </c>
      <c r="E12" s="9">
        <v>0.88222245481903305</v>
      </c>
      <c r="F12" s="9">
        <v>0</v>
      </c>
      <c r="G12" s="9">
        <v>1</v>
      </c>
      <c r="H12" s="17" t="s">
        <v>31</v>
      </c>
      <c r="J12" s="10">
        <v>0</v>
      </c>
      <c r="K12" s="10" t="s">
        <v>28</v>
      </c>
      <c r="L12" s="7">
        <v>0</v>
      </c>
      <c r="M12" s="9">
        <v>0.88822508914779397</v>
      </c>
      <c r="N12" s="9">
        <v>0</v>
      </c>
      <c r="O12" s="9">
        <v>1</v>
      </c>
      <c r="P12" s="17" t="s">
        <v>31</v>
      </c>
    </row>
    <row r="13" spans="2:16" x14ac:dyDescent="0.2">
      <c r="B13" s="10">
        <v>1</v>
      </c>
      <c r="C13" s="10" t="s">
        <v>30</v>
      </c>
      <c r="D13" s="8">
        <v>-0.69339043384705201</v>
      </c>
      <c r="E13" s="9">
        <v>0.29238161743258501</v>
      </c>
      <c r="F13" s="9">
        <v>-2.3715254055153698</v>
      </c>
      <c r="G13" s="9">
        <v>1.7714828776556699E-2</v>
      </c>
      <c r="H13" s="10" t="s">
        <v>29</v>
      </c>
      <c r="J13" s="10">
        <v>1</v>
      </c>
      <c r="K13" s="10" t="s">
        <v>56</v>
      </c>
      <c r="L13" s="8">
        <v>-0.54999351135212704</v>
      </c>
      <c r="M13" s="9">
        <v>0.26746908442223999</v>
      </c>
      <c r="N13" s="9">
        <v>-2.0562881595836302</v>
      </c>
      <c r="O13" s="9">
        <v>3.97547489078931E-2</v>
      </c>
      <c r="P13" s="10" t="s">
        <v>29</v>
      </c>
    </row>
    <row r="14" spans="2:16" x14ac:dyDescent="0.2">
      <c r="B14" s="10">
        <v>2</v>
      </c>
      <c r="C14" s="10" t="s">
        <v>32</v>
      </c>
      <c r="D14" s="8">
        <v>-0.12551724824753599</v>
      </c>
      <c r="E14" s="9">
        <v>0.27593116110729099</v>
      </c>
      <c r="F14" s="9">
        <v>-0.45488609457462198</v>
      </c>
      <c r="G14" s="9">
        <v>0.64919118729980996</v>
      </c>
      <c r="H14" s="10" t="s">
        <v>29</v>
      </c>
      <c r="J14" s="10">
        <v>2</v>
      </c>
      <c r="K14" s="10" t="s">
        <v>57</v>
      </c>
      <c r="L14" s="7">
        <v>0</v>
      </c>
      <c r="M14" s="9">
        <v>0.36749337137439098</v>
      </c>
      <c r="N14" s="9">
        <v>0</v>
      </c>
      <c r="O14" s="9">
        <v>1</v>
      </c>
      <c r="P14" s="17" t="s">
        <v>31</v>
      </c>
    </row>
    <row r="15" spans="2:16" x14ac:dyDescent="0.2">
      <c r="B15" s="10">
        <v>3</v>
      </c>
      <c r="C15" s="10" t="s">
        <v>33</v>
      </c>
      <c r="D15" s="8">
        <v>-0.45087111407350899</v>
      </c>
      <c r="E15" s="9">
        <v>0.44057534868666898</v>
      </c>
      <c r="F15" s="9">
        <v>-1.0233689093534799</v>
      </c>
      <c r="G15" s="9">
        <v>0.30613345368376799</v>
      </c>
      <c r="H15" s="10" t="s">
        <v>29</v>
      </c>
      <c r="J15" s="10">
        <v>3</v>
      </c>
      <c r="K15" s="10" t="s">
        <v>58</v>
      </c>
      <c r="L15" s="8">
        <v>-0.66813560673175099</v>
      </c>
      <c r="M15" s="9">
        <v>0.39109810925601102</v>
      </c>
      <c r="N15" s="9">
        <v>-1.7083580588071601</v>
      </c>
      <c r="O15" s="9">
        <v>8.7569924476906494E-2</v>
      </c>
      <c r="P15" s="10" t="s">
        <v>29</v>
      </c>
    </row>
    <row r="16" spans="2:16" x14ac:dyDescent="0.2">
      <c r="B16" s="10">
        <v>4</v>
      </c>
      <c r="C16" s="10" t="s">
        <v>34</v>
      </c>
      <c r="D16" s="8">
        <v>-1.32993292222259</v>
      </c>
      <c r="E16" s="9">
        <v>0.33565311630047601</v>
      </c>
      <c r="F16" s="9">
        <v>-3.9622242655779099</v>
      </c>
      <c r="G16" s="9">
        <v>7.4254740789037003E-5</v>
      </c>
      <c r="H16" s="10" t="s">
        <v>29</v>
      </c>
      <c r="J16" s="10">
        <v>4</v>
      </c>
      <c r="K16" s="10" t="s">
        <v>59</v>
      </c>
      <c r="L16" s="8">
        <v>-1.2014739684678299</v>
      </c>
      <c r="M16" s="9">
        <v>0.33173421170834699</v>
      </c>
      <c r="N16" s="9">
        <v>-3.6217969870534401</v>
      </c>
      <c r="O16" s="9">
        <v>2.9256368033658798E-4</v>
      </c>
      <c r="P16" s="10" t="s">
        <v>29</v>
      </c>
    </row>
    <row r="17" spans="2:16" x14ac:dyDescent="0.2">
      <c r="B17" s="10">
        <v>5</v>
      </c>
      <c r="C17" s="10" t="s">
        <v>36</v>
      </c>
      <c r="D17" s="7">
        <v>0</v>
      </c>
      <c r="E17" s="9">
        <v>0.67482957764131402</v>
      </c>
      <c r="F17" s="9">
        <v>0</v>
      </c>
      <c r="G17" s="9">
        <v>1</v>
      </c>
      <c r="H17" s="17" t="s">
        <v>31</v>
      </c>
      <c r="J17" s="10">
        <v>5</v>
      </c>
      <c r="K17" s="10" t="s">
        <v>36</v>
      </c>
      <c r="L17" s="7">
        <v>0</v>
      </c>
      <c r="M17" s="9">
        <v>1.09242702854881</v>
      </c>
      <c r="N17" s="9">
        <v>0</v>
      </c>
      <c r="O17" s="9">
        <v>1</v>
      </c>
      <c r="P17" s="17" t="s">
        <v>31</v>
      </c>
    </row>
    <row r="18" spans="2:16" x14ac:dyDescent="0.2">
      <c r="B18" s="10">
        <v>6</v>
      </c>
      <c r="C18" s="10" t="s">
        <v>80</v>
      </c>
      <c r="D18" s="8">
        <v>2.2179565321557702</v>
      </c>
      <c r="E18" s="9">
        <v>0.73796294550777297</v>
      </c>
      <c r="F18" s="9">
        <v>3.0055120594566702</v>
      </c>
      <c r="G18" s="9">
        <v>2.6513408221453499E-3</v>
      </c>
      <c r="H18" s="10" t="s">
        <v>29</v>
      </c>
      <c r="J18" s="10">
        <v>6</v>
      </c>
      <c r="K18" s="10" t="s">
        <v>48</v>
      </c>
      <c r="L18" s="8">
        <v>-0.53468874222451801</v>
      </c>
      <c r="M18" s="9">
        <v>0.461803223839444</v>
      </c>
      <c r="N18" s="9">
        <v>-1.15782808482604</v>
      </c>
      <c r="O18" s="9">
        <v>0.24693419985318399</v>
      </c>
      <c r="P18" s="10" t="s">
        <v>29</v>
      </c>
    </row>
    <row r="19" spans="2:16" x14ac:dyDescent="0.2">
      <c r="B19" s="10">
        <v>7</v>
      </c>
      <c r="C19" s="10" t="s">
        <v>38</v>
      </c>
      <c r="D19" s="8">
        <v>-0.77052603423343802</v>
      </c>
      <c r="E19" s="9">
        <v>0.48359334984372598</v>
      </c>
      <c r="F19" s="9">
        <v>-1.5933346363890899</v>
      </c>
      <c r="G19" s="9">
        <v>0.111085140477128</v>
      </c>
      <c r="H19" s="10" t="s">
        <v>29</v>
      </c>
      <c r="J19" s="10">
        <v>7</v>
      </c>
      <c r="K19" s="10" t="s">
        <v>49</v>
      </c>
      <c r="L19" s="8">
        <v>-0.45064750467366599</v>
      </c>
      <c r="M19" s="9">
        <v>1.0028640271299301</v>
      </c>
      <c r="N19" s="9">
        <v>-0.44936052394197401</v>
      </c>
      <c r="O19" s="9">
        <v>0.65317160361587601</v>
      </c>
      <c r="P19" s="10" t="s">
        <v>29</v>
      </c>
    </row>
    <row r="20" spans="2:16" x14ac:dyDescent="0.2">
      <c r="B20" s="10">
        <v>8</v>
      </c>
      <c r="C20" s="10" t="s">
        <v>39</v>
      </c>
      <c r="D20" s="7">
        <v>0</v>
      </c>
      <c r="E20" s="9">
        <v>0.27423659730569899</v>
      </c>
      <c r="F20" s="9">
        <v>0</v>
      </c>
      <c r="G20" s="9">
        <v>1</v>
      </c>
      <c r="H20" s="17" t="s">
        <v>31</v>
      </c>
      <c r="J20" s="10">
        <v>8</v>
      </c>
      <c r="K20" s="10" t="s">
        <v>50</v>
      </c>
      <c r="L20" s="8">
        <v>-1.7061767853445</v>
      </c>
      <c r="M20" s="9">
        <v>2.99227728077022</v>
      </c>
      <c r="N20" s="9">
        <v>-0.57019340965130405</v>
      </c>
      <c r="O20" s="9">
        <v>0.56854652549373097</v>
      </c>
      <c r="P20" s="10" t="s">
        <v>29</v>
      </c>
    </row>
    <row r="21" spans="2:16" x14ac:dyDescent="0.2">
      <c r="B21" s="10">
        <v>9</v>
      </c>
      <c r="C21" s="10" t="s">
        <v>40</v>
      </c>
      <c r="D21" s="7">
        <v>0</v>
      </c>
      <c r="E21" s="9">
        <v>0.97490591993803999</v>
      </c>
      <c r="F21" s="9">
        <v>0</v>
      </c>
      <c r="G21" s="9">
        <v>1</v>
      </c>
      <c r="H21" s="17" t="s">
        <v>31</v>
      </c>
      <c r="J21" s="10">
        <v>9</v>
      </c>
      <c r="K21" s="10" t="s">
        <v>51</v>
      </c>
      <c r="L21" s="8">
        <v>-2.8775546417409399</v>
      </c>
      <c r="M21" s="9">
        <v>0.87964444014218102</v>
      </c>
      <c r="N21" s="9">
        <v>-3.2712701978492902</v>
      </c>
      <c r="O21" s="9">
        <v>1.0706556323869501E-3</v>
      </c>
      <c r="P21" s="10" t="s">
        <v>29</v>
      </c>
    </row>
    <row r="22" spans="2:16" x14ac:dyDescent="0.2">
      <c r="B22" s="10">
        <v>10</v>
      </c>
      <c r="C22" s="10" t="s">
        <v>41</v>
      </c>
      <c r="D22" s="8">
        <v>-2.92145884689362</v>
      </c>
      <c r="E22" s="9">
        <v>0.57970559836929003</v>
      </c>
      <c r="F22" s="9">
        <v>-5.0395560351869602</v>
      </c>
      <c r="G22" s="9">
        <v>4.66612999350246E-7</v>
      </c>
      <c r="H22" s="10" t="s">
        <v>29</v>
      </c>
      <c r="J22" s="10">
        <v>10</v>
      </c>
      <c r="K22" s="10" t="s">
        <v>80</v>
      </c>
      <c r="L22" s="8">
        <v>2.1027005654310602</v>
      </c>
      <c r="M22" s="9">
        <v>0.81075313127044002</v>
      </c>
      <c r="N22" s="9">
        <v>2.59351519510773</v>
      </c>
      <c r="O22" s="9">
        <v>9.5000341108046893E-3</v>
      </c>
      <c r="P22" s="10" t="s">
        <v>29</v>
      </c>
    </row>
    <row r="23" spans="2:16" x14ac:dyDescent="0.2">
      <c r="B23" s="19">
        <v>11</v>
      </c>
      <c r="C23" s="19" t="s">
        <v>37</v>
      </c>
      <c r="D23" s="23">
        <v>0.72916112507814901</v>
      </c>
      <c r="E23" s="18">
        <v>0.68252445750607005</v>
      </c>
      <c r="F23" s="18">
        <v>1.0683296650533001</v>
      </c>
      <c r="G23" s="18">
        <v>0.28537183158822299</v>
      </c>
      <c r="H23" s="19" t="s">
        <v>29</v>
      </c>
      <c r="J23" s="10">
        <v>11</v>
      </c>
      <c r="K23" s="10" t="s">
        <v>81</v>
      </c>
      <c r="L23" s="8">
        <v>-0.43108669798120702</v>
      </c>
      <c r="M23" s="9">
        <v>0.584025287174045</v>
      </c>
      <c r="N23" s="9">
        <v>-0.73813019307285399</v>
      </c>
      <c r="O23" s="9">
        <v>0.46043533771887801</v>
      </c>
      <c r="P23" s="10" t="s">
        <v>29</v>
      </c>
    </row>
    <row r="24" spans="2:16" x14ac:dyDescent="0.2">
      <c r="B24" s="28" t="s">
        <v>43</v>
      </c>
      <c r="C24" s="28"/>
      <c r="D24" s="28"/>
      <c r="E24" s="28"/>
      <c r="F24" s="28"/>
      <c r="G24" s="28"/>
      <c r="H24" s="28"/>
      <c r="J24" s="10">
        <v>12</v>
      </c>
      <c r="K24" s="10" t="s">
        <v>82</v>
      </c>
      <c r="L24" s="8">
        <v>-5.01920329829358E-2</v>
      </c>
      <c r="M24" s="9">
        <v>0.416066302112724</v>
      </c>
      <c r="N24" s="9">
        <v>-0.12063469867198499</v>
      </c>
      <c r="O24" s="9">
        <v>0.90398038397019898</v>
      </c>
      <c r="P24" s="10" t="s">
        <v>29</v>
      </c>
    </row>
    <row r="25" spans="2:16" x14ac:dyDescent="0.2">
      <c r="B25" t="s">
        <v>69</v>
      </c>
      <c r="C25">
        <v>12</v>
      </c>
      <c r="J25" s="10">
        <v>13</v>
      </c>
      <c r="K25" s="10" t="s">
        <v>83</v>
      </c>
      <c r="L25" s="7">
        <v>0</v>
      </c>
      <c r="M25" s="9">
        <v>1.31008728840934</v>
      </c>
      <c r="N25" s="9">
        <v>0</v>
      </c>
      <c r="O25" s="9">
        <v>1</v>
      </c>
      <c r="P25" s="17" t="s">
        <v>31</v>
      </c>
    </row>
    <row r="26" spans="2:16" x14ac:dyDescent="0.2">
      <c r="B26" t="s">
        <v>70</v>
      </c>
      <c r="C26">
        <v>55</v>
      </c>
      <c r="J26" s="10">
        <v>14</v>
      </c>
      <c r="K26" s="10" t="s">
        <v>84</v>
      </c>
      <c r="L26" s="8">
        <v>-3.5809642287983401</v>
      </c>
      <c r="M26" s="9">
        <v>0.88753714202698697</v>
      </c>
      <c r="N26" s="9">
        <v>-4.0347204181449996</v>
      </c>
      <c r="O26" s="9">
        <v>5.4667351118586798E-5</v>
      </c>
      <c r="P26" s="10" t="s">
        <v>29</v>
      </c>
    </row>
    <row r="27" spans="2:16" x14ac:dyDescent="0.2">
      <c r="B27" t="s">
        <v>71</v>
      </c>
      <c r="C27" s="20">
        <v>-126.6422</v>
      </c>
      <c r="J27" s="10">
        <v>15</v>
      </c>
      <c r="K27" s="10" t="s">
        <v>37</v>
      </c>
      <c r="L27" s="8">
        <v>0.71291812975785995</v>
      </c>
      <c r="M27" s="9">
        <v>0.92364360915076804</v>
      </c>
      <c r="N27" s="9">
        <v>0.77185412500536099</v>
      </c>
      <c r="O27" s="9">
        <v>0.44020083055099601</v>
      </c>
      <c r="P27" s="10" t="s">
        <v>29</v>
      </c>
    </row>
    <row r="28" spans="2:16" x14ac:dyDescent="0.2">
      <c r="B28" t="s">
        <v>72</v>
      </c>
      <c r="C28" s="20">
        <v>-54.001890000000003</v>
      </c>
      <c r="J28" s="10">
        <v>16</v>
      </c>
      <c r="K28" s="10" t="s">
        <v>52</v>
      </c>
      <c r="L28" s="8">
        <v>-0.96116402904453002</v>
      </c>
      <c r="M28" s="9">
        <v>0.576341710888706</v>
      </c>
      <c r="N28" s="9">
        <v>-1.6676981916898499</v>
      </c>
      <c r="O28" s="9">
        <v>9.5375654578524899E-2</v>
      </c>
      <c r="P28" s="10" t="s">
        <v>29</v>
      </c>
    </row>
    <row r="29" spans="2:16" x14ac:dyDescent="0.2">
      <c r="B29" t="s">
        <v>73</v>
      </c>
      <c r="C29" s="20">
        <f>-2*(C27-C28)</f>
        <v>145.28062</v>
      </c>
      <c r="J29" s="10">
        <v>17</v>
      </c>
      <c r="K29" s="10" t="s">
        <v>53</v>
      </c>
      <c r="L29" s="7">
        <v>0</v>
      </c>
      <c r="M29" s="9">
        <v>0.26444701534195098</v>
      </c>
      <c r="N29" s="9">
        <v>0</v>
      </c>
      <c r="O29" s="9">
        <v>1</v>
      </c>
      <c r="P29" s="17" t="s">
        <v>31</v>
      </c>
    </row>
    <row r="30" spans="2:16" x14ac:dyDescent="0.2">
      <c r="B30" t="s">
        <v>74</v>
      </c>
      <c r="C30" s="20">
        <v>132.00380000000001</v>
      </c>
      <c r="J30" s="10">
        <v>18</v>
      </c>
      <c r="K30" s="10" t="s">
        <v>54</v>
      </c>
      <c r="L30" s="7">
        <v>0</v>
      </c>
      <c r="M30" s="9">
        <v>1.8288032200981399</v>
      </c>
      <c r="N30" s="9">
        <v>0</v>
      </c>
      <c r="O30" s="9">
        <v>1</v>
      </c>
      <c r="P30" s="17" t="s">
        <v>31</v>
      </c>
    </row>
    <row r="31" spans="2:16" x14ac:dyDescent="0.2">
      <c r="B31" t="s">
        <v>75</v>
      </c>
      <c r="C31" s="20">
        <v>156.09180000000001</v>
      </c>
      <c r="J31" s="10">
        <v>19</v>
      </c>
      <c r="K31" s="10" t="s">
        <v>55</v>
      </c>
      <c r="L31" s="8">
        <v>-2.5989794520495502</v>
      </c>
      <c r="M31" s="9">
        <v>0.69689695466336599</v>
      </c>
      <c r="N31" s="9">
        <v>-3.7293597491826902</v>
      </c>
      <c r="O31" s="9">
        <v>1.9196691862877199E-4</v>
      </c>
      <c r="P31" s="10" t="s">
        <v>29</v>
      </c>
    </row>
    <row r="32" spans="2:16" x14ac:dyDescent="0.2">
      <c r="J32" s="28" t="s">
        <v>43</v>
      </c>
      <c r="K32" s="28"/>
      <c r="L32" s="28"/>
      <c r="M32" s="28"/>
      <c r="N32" s="28"/>
      <c r="O32" s="28"/>
      <c r="P32" s="28"/>
    </row>
    <row r="33" spans="2:11" x14ac:dyDescent="0.2">
      <c r="B33" s="29" t="s">
        <v>78</v>
      </c>
      <c r="C33" s="29"/>
      <c r="D33" s="29"/>
      <c r="E33" s="29"/>
      <c r="F33" s="29"/>
      <c r="G33" s="29"/>
      <c r="H33" s="29"/>
      <c r="J33" t="s">
        <v>69</v>
      </c>
      <c r="K33">
        <v>20</v>
      </c>
    </row>
    <row r="34" spans="2:11" x14ac:dyDescent="0.2">
      <c r="B34" s="1" t="s">
        <v>68</v>
      </c>
      <c r="C34" s="1"/>
      <c r="D34" s="1"/>
      <c r="E34" s="1"/>
      <c r="F34" s="1"/>
      <c r="G34" s="1"/>
      <c r="H34" s="1"/>
      <c r="J34" t="s">
        <v>70</v>
      </c>
      <c r="K34">
        <v>55</v>
      </c>
    </row>
    <row r="35" spans="2:11" x14ac:dyDescent="0.2">
      <c r="J35" t="s">
        <v>71</v>
      </c>
      <c r="K35" s="20">
        <v>-126.6422</v>
      </c>
    </row>
    <row r="36" spans="2:11" x14ac:dyDescent="0.2">
      <c r="B36" t="s">
        <v>64</v>
      </c>
      <c r="C36">
        <f>K33-C25</f>
        <v>8</v>
      </c>
      <c r="J36" t="s">
        <v>72</v>
      </c>
      <c r="K36" s="20">
        <v>-50.262560000000001</v>
      </c>
    </row>
    <row r="37" spans="2:11" x14ac:dyDescent="0.2">
      <c r="B37" t="s">
        <v>65</v>
      </c>
      <c r="C37" s="20">
        <f>-2*(C28-K36)</f>
        <v>7.478660000000005</v>
      </c>
      <c r="J37" t="s">
        <v>73</v>
      </c>
      <c r="K37" s="20">
        <f>-2*(K35-K36)</f>
        <v>152.75927999999999</v>
      </c>
    </row>
    <row r="38" spans="2:11" ht="20" x14ac:dyDescent="0.25">
      <c r="B38" t="s">
        <v>66</v>
      </c>
      <c r="C38">
        <v>15.507</v>
      </c>
      <c r="D38" s="16" t="s">
        <v>7</v>
      </c>
      <c r="E38" s="27" t="str">
        <f>IF(C37&lt;C38,"H0 cannot be rejected","H0 rejected")</f>
        <v>H0 cannot be rejected</v>
      </c>
      <c r="F38" s="27"/>
      <c r="G38" s="27"/>
      <c r="H38" s="27"/>
      <c r="J38" t="s">
        <v>74</v>
      </c>
      <c r="K38" s="20">
        <v>140.52510000000001</v>
      </c>
    </row>
    <row r="39" spans="2:11" x14ac:dyDescent="0.2">
      <c r="J39" t="s">
        <v>75</v>
      </c>
      <c r="K39" s="20">
        <v>180.67179999999999</v>
      </c>
    </row>
  </sheetData>
  <mergeCells count="6">
    <mergeCell ref="B24:H24"/>
    <mergeCell ref="J32:P32"/>
    <mergeCell ref="B33:H33"/>
    <mergeCell ref="E38:H38"/>
    <mergeCell ref="B10:H10"/>
    <mergeCell ref="J10:P10"/>
  </mergeCells>
  <conditionalFormatting sqref="E38:H38">
    <cfRule type="cellIs" dxfId="7" priority="1" operator="equal">
      <formula>"H0 cannot be rejected"</formula>
    </cfRule>
    <cfRule type="cellIs" dxfId="6" priority="2" operator="equal">
      <formula>"H0 rejected"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6F18-8DD7-604F-B38A-00CCF6BD257D}">
  <sheetPr>
    <tabColor rgb="FF92D050"/>
  </sheetPr>
  <dimension ref="B2:P40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12" bestFit="1" customWidth="1"/>
    <col min="7" max="7" width="13.1640625" style="12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21" t="s">
        <v>21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2:16" x14ac:dyDescent="0.2">
      <c r="B4" s="19" t="s">
        <v>76</v>
      </c>
      <c r="C4" s="19" t="s">
        <v>77</v>
      </c>
      <c r="D4" s="2"/>
      <c r="E4" s="2"/>
      <c r="F4" s="2"/>
    </row>
    <row r="5" spans="2:16" x14ac:dyDescent="0.2">
      <c r="B5" s="10" t="s">
        <v>0</v>
      </c>
      <c r="C5" s="5" t="s">
        <v>5</v>
      </c>
      <c r="D5" s="2"/>
      <c r="E5" s="2"/>
      <c r="F5" s="2"/>
    </row>
    <row r="6" spans="2:16" x14ac:dyDescent="0.2">
      <c r="B6" s="10" t="s">
        <v>2</v>
      </c>
      <c r="C6" s="5" t="s">
        <v>5</v>
      </c>
      <c r="D6" s="2"/>
      <c r="E6" s="2"/>
      <c r="F6" s="2"/>
    </row>
    <row r="7" spans="2:16" x14ac:dyDescent="0.2">
      <c r="B7" s="10" t="s">
        <v>3</v>
      </c>
      <c r="C7" s="5" t="s">
        <v>6</v>
      </c>
      <c r="D7" s="2"/>
      <c r="E7" s="2"/>
      <c r="F7" s="2"/>
    </row>
    <row r="9" spans="2:16" x14ac:dyDescent="0.2">
      <c r="B9" s="26" t="s">
        <v>94</v>
      </c>
      <c r="C9" s="26"/>
      <c r="D9" s="26"/>
      <c r="E9" s="26"/>
      <c r="F9" s="26"/>
      <c r="G9" s="26"/>
      <c r="H9" s="26"/>
      <c r="J9" s="26" t="s">
        <v>95</v>
      </c>
      <c r="K9" s="26"/>
      <c r="L9" s="26"/>
      <c r="M9" s="26"/>
      <c r="N9" s="26"/>
      <c r="O9" s="26"/>
      <c r="P9" s="26"/>
    </row>
    <row r="10" spans="2:16" x14ac:dyDescent="0.2">
      <c r="B10" s="11" t="s">
        <v>42</v>
      </c>
      <c r="C10" s="11" t="s">
        <v>22</v>
      </c>
      <c r="D10" s="13" t="s">
        <v>23</v>
      </c>
      <c r="E10" s="13" t="s">
        <v>24</v>
      </c>
      <c r="F10" s="13" t="s">
        <v>25</v>
      </c>
      <c r="G10" s="13" t="s">
        <v>26</v>
      </c>
      <c r="H10" s="11" t="s">
        <v>27</v>
      </c>
      <c r="J10" s="11" t="s">
        <v>42</v>
      </c>
      <c r="K10" s="11" t="s">
        <v>22</v>
      </c>
      <c r="L10" s="11" t="s">
        <v>23</v>
      </c>
      <c r="M10" s="11" t="s">
        <v>24</v>
      </c>
      <c r="N10" s="11" t="s">
        <v>25</v>
      </c>
      <c r="O10" s="11" t="s">
        <v>26</v>
      </c>
      <c r="P10" s="11" t="s">
        <v>27</v>
      </c>
    </row>
    <row r="11" spans="2:16" x14ac:dyDescent="0.2">
      <c r="B11" s="10">
        <v>0</v>
      </c>
      <c r="C11" s="10" t="s">
        <v>28</v>
      </c>
      <c r="D11" s="7">
        <v>0</v>
      </c>
      <c r="E11" s="9">
        <v>0.37258561991843497</v>
      </c>
      <c r="F11" s="9">
        <v>0</v>
      </c>
      <c r="G11" s="9">
        <v>1</v>
      </c>
      <c r="H11" s="17" t="s">
        <v>31</v>
      </c>
      <c r="J11" s="10">
        <v>0</v>
      </c>
      <c r="K11" s="10" t="s">
        <v>28</v>
      </c>
      <c r="L11" s="7">
        <v>0</v>
      </c>
      <c r="M11" s="9">
        <v>0.60132981601193303</v>
      </c>
      <c r="N11" s="9">
        <v>0</v>
      </c>
      <c r="O11" s="9">
        <v>1</v>
      </c>
      <c r="P11" s="17" t="s">
        <v>31</v>
      </c>
    </row>
    <row r="12" spans="2:16" x14ac:dyDescent="0.2">
      <c r="B12" s="10">
        <v>1</v>
      </c>
      <c r="C12" s="10" t="s">
        <v>30</v>
      </c>
      <c r="D12" s="7">
        <v>0</v>
      </c>
      <c r="E12" s="9">
        <v>3.9820854588266001E-2</v>
      </c>
      <c r="F12" s="9">
        <v>0</v>
      </c>
      <c r="G12" s="9">
        <v>1</v>
      </c>
      <c r="H12" s="17" t="s">
        <v>31</v>
      </c>
      <c r="J12" s="10">
        <v>1</v>
      </c>
      <c r="K12" s="10" t="s">
        <v>56</v>
      </c>
      <c r="L12" s="8">
        <v>-0.17300847010164</v>
      </c>
      <c r="M12" s="9">
        <v>0.31878767388309998</v>
      </c>
      <c r="N12" s="9">
        <v>-0.54270752690734003</v>
      </c>
      <c r="O12" s="9">
        <v>0.58733119100048004</v>
      </c>
      <c r="P12" s="10" t="s">
        <v>29</v>
      </c>
    </row>
    <row r="13" spans="2:16" x14ac:dyDescent="0.2">
      <c r="B13" s="10">
        <v>2</v>
      </c>
      <c r="C13" s="10" t="s">
        <v>32</v>
      </c>
      <c r="D13" s="7">
        <v>0</v>
      </c>
      <c r="E13" s="9">
        <v>3.48166656059299E-2</v>
      </c>
      <c r="F13" s="9">
        <v>0</v>
      </c>
      <c r="G13" s="9">
        <v>1</v>
      </c>
      <c r="H13" s="17" t="s">
        <v>31</v>
      </c>
      <c r="J13" s="10">
        <v>2</v>
      </c>
      <c r="K13" s="10" t="s">
        <v>57</v>
      </c>
      <c r="L13" s="7">
        <v>0</v>
      </c>
      <c r="M13" s="9">
        <v>0.205201721259473</v>
      </c>
      <c r="N13" s="9">
        <v>0</v>
      </c>
      <c r="O13" s="9">
        <v>1</v>
      </c>
      <c r="P13" s="17" t="s">
        <v>31</v>
      </c>
    </row>
    <row r="14" spans="2:16" x14ac:dyDescent="0.2">
      <c r="B14" s="10">
        <v>3</v>
      </c>
      <c r="C14" s="10" t="s">
        <v>33</v>
      </c>
      <c r="D14" s="8">
        <v>-0.26092938212657302</v>
      </c>
      <c r="E14" s="9">
        <v>0.162362104008622</v>
      </c>
      <c r="F14" s="9">
        <v>-1.6070830303647401</v>
      </c>
      <c r="G14" s="9">
        <v>0.10803615532288099</v>
      </c>
      <c r="H14" s="10" t="s">
        <v>29</v>
      </c>
      <c r="J14" s="10">
        <v>3</v>
      </c>
      <c r="K14" s="10" t="s">
        <v>58</v>
      </c>
      <c r="L14" s="8">
        <v>-0.34078263006918702</v>
      </c>
      <c r="M14" s="9">
        <v>0.198430007788268</v>
      </c>
      <c r="N14" s="9">
        <v>-1.7173946313241799</v>
      </c>
      <c r="O14" s="9">
        <v>8.5907091937992494E-2</v>
      </c>
      <c r="P14" s="10" t="s">
        <v>29</v>
      </c>
    </row>
    <row r="15" spans="2:16" x14ac:dyDescent="0.2">
      <c r="B15" s="10">
        <v>4</v>
      </c>
      <c r="C15" s="10" t="s">
        <v>34</v>
      </c>
      <c r="D15" s="8">
        <v>-0.98558708021701302</v>
      </c>
      <c r="E15" s="9">
        <v>0.204208728939061</v>
      </c>
      <c r="F15" s="9">
        <v>-4.8263709653230498</v>
      </c>
      <c r="G15" s="9">
        <v>1.3904340885328901E-6</v>
      </c>
      <c r="H15" s="10" t="s">
        <v>29</v>
      </c>
      <c r="J15" s="10">
        <v>4</v>
      </c>
      <c r="K15" s="10" t="s">
        <v>59</v>
      </c>
      <c r="L15" s="8">
        <v>-0.54630993862968003</v>
      </c>
      <c r="M15" s="9">
        <v>0.142678003130705</v>
      </c>
      <c r="N15" s="9">
        <v>-3.8289710161503399</v>
      </c>
      <c r="O15" s="9">
        <v>1.2868015902278701E-4</v>
      </c>
      <c r="P15" s="10" t="s">
        <v>29</v>
      </c>
    </row>
    <row r="16" spans="2:16" x14ac:dyDescent="0.2">
      <c r="B16" s="10">
        <v>5</v>
      </c>
      <c r="C16" s="10" t="s">
        <v>36</v>
      </c>
      <c r="D16" s="8">
        <v>1.6717895992437599</v>
      </c>
      <c r="E16" s="9">
        <v>0.40685200700352198</v>
      </c>
      <c r="F16" s="9">
        <v>4.1090852950598498</v>
      </c>
      <c r="G16" s="9">
        <v>3.9722935261998703E-5</v>
      </c>
      <c r="H16" s="10" t="s">
        <v>29</v>
      </c>
      <c r="J16" s="10">
        <v>5</v>
      </c>
      <c r="K16" s="10" t="s">
        <v>36</v>
      </c>
      <c r="L16" s="8">
        <v>2.0124179600821299</v>
      </c>
      <c r="M16" s="9">
        <v>0.44456768019213999</v>
      </c>
      <c r="N16" s="9">
        <v>4.5266852489420302</v>
      </c>
      <c r="O16" s="9">
        <v>5.99160774927831E-6</v>
      </c>
      <c r="P16" s="10" t="s">
        <v>29</v>
      </c>
    </row>
    <row r="17" spans="2:16" x14ac:dyDescent="0.2">
      <c r="B17" s="10">
        <v>6</v>
      </c>
      <c r="C17" s="10" t="s">
        <v>37</v>
      </c>
      <c r="D17" s="8">
        <v>1.36544720336976</v>
      </c>
      <c r="E17" s="9">
        <v>0.60767698000699799</v>
      </c>
      <c r="F17" s="9">
        <v>2.2469951113732098</v>
      </c>
      <c r="G17" s="9">
        <v>2.4640339539252699E-2</v>
      </c>
      <c r="H17" s="10" t="s">
        <v>29</v>
      </c>
      <c r="J17" s="10">
        <v>6</v>
      </c>
      <c r="K17" s="10" t="s">
        <v>48</v>
      </c>
      <c r="L17" s="7">
        <v>0</v>
      </c>
      <c r="M17" s="9">
        <v>4.8724099012785897E-2</v>
      </c>
      <c r="N17" s="9">
        <v>0</v>
      </c>
      <c r="O17" s="9">
        <v>1</v>
      </c>
      <c r="P17" s="17" t="s">
        <v>31</v>
      </c>
    </row>
    <row r="18" spans="2:16" x14ac:dyDescent="0.2">
      <c r="B18" s="10">
        <v>7</v>
      </c>
      <c r="C18" s="10" t="s">
        <v>38</v>
      </c>
      <c r="D18" s="8">
        <v>-0.55947638695343205</v>
      </c>
      <c r="E18" s="9">
        <v>0.158246744023499</v>
      </c>
      <c r="F18" s="9">
        <v>-3.5354685520123499</v>
      </c>
      <c r="G18" s="9">
        <v>4.0705269238250298E-4</v>
      </c>
      <c r="H18" s="10" t="s">
        <v>29</v>
      </c>
      <c r="J18" s="10">
        <v>7</v>
      </c>
      <c r="K18" s="10" t="s">
        <v>49</v>
      </c>
      <c r="L18" s="7">
        <v>0</v>
      </c>
      <c r="M18" s="9">
        <v>4.7816217070577302E-2</v>
      </c>
      <c r="N18" s="9">
        <v>0</v>
      </c>
      <c r="O18" s="9">
        <v>1</v>
      </c>
      <c r="P18" s="17" t="s">
        <v>31</v>
      </c>
    </row>
    <row r="19" spans="2:16" x14ac:dyDescent="0.2">
      <c r="B19" s="10">
        <v>8</v>
      </c>
      <c r="C19" s="10" t="s">
        <v>39</v>
      </c>
      <c r="D19" s="8">
        <v>-0.32892758492969199</v>
      </c>
      <c r="E19" s="9">
        <v>0.26716113850874901</v>
      </c>
      <c r="F19" s="9">
        <v>-1.2311954753813099</v>
      </c>
      <c r="G19" s="9">
        <v>0.218249763266012</v>
      </c>
      <c r="H19" s="10" t="s">
        <v>29</v>
      </c>
      <c r="J19" s="10">
        <v>8</v>
      </c>
      <c r="K19" s="10" t="s">
        <v>50</v>
      </c>
      <c r="L19" s="7">
        <v>0</v>
      </c>
      <c r="M19" s="9">
        <v>1.61852954987429</v>
      </c>
      <c r="N19" s="9">
        <v>0</v>
      </c>
      <c r="O19" s="9">
        <v>1</v>
      </c>
      <c r="P19" s="17" t="s">
        <v>31</v>
      </c>
    </row>
    <row r="20" spans="2:16" x14ac:dyDescent="0.2">
      <c r="B20" s="10">
        <v>9</v>
      </c>
      <c r="C20" s="10" t="s">
        <v>40</v>
      </c>
      <c r="D20" s="8">
        <v>-2.9514332605815299</v>
      </c>
      <c r="E20" s="9">
        <v>1.5260993457912799</v>
      </c>
      <c r="F20" s="9">
        <v>-1.9339719060368299</v>
      </c>
      <c r="G20" s="9">
        <v>5.3116582123233301E-2</v>
      </c>
      <c r="H20" s="10" t="s">
        <v>29</v>
      </c>
      <c r="J20" s="10">
        <v>9</v>
      </c>
      <c r="K20" s="10" t="s">
        <v>51</v>
      </c>
      <c r="L20" s="8">
        <v>-1.54891877237329</v>
      </c>
      <c r="M20" s="9">
        <v>0.33164103580489901</v>
      </c>
      <c r="N20" s="9">
        <v>-4.6704677803638903</v>
      </c>
      <c r="O20" s="9">
        <v>3.0051461765712098E-6</v>
      </c>
      <c r="P20" s="10" t="s">
        <v>29</v>
      </c>
    </row>
    <row r="21" spans="2:16" x14ac:dyDescent="0.2">
      <c r="B21" s="19">
        <v>10</v>
      </c>
      <c r="C21" s="19" t="s">
        <v>41</v>
      </c>
      <c r="D21" s="23">
        <v>-2.9187901563969199</v>
      </c>
      <c r="E21" s="18">
        <v>0.65338762495277802</v>
      </c>
      <c r="F21" s="18">
        <v>-4.4671647348813304</v>
      </c>
      <c r="G21" s="18">
        <v>7.9263093226700204E-6</v>
      </c>
      <c r="H21" s="19" t="s">
        <v>29</v>
      </c>
      <c r="J21" s="10">
        <v>10</v>
      </c>
      <c r="K21" s="10" t="s">
        <v>37</v>
      </c>
      <c r="L21" s="8">
        <v>1.08851375194657</v>
      </c>
      <c r="M21" s="9">
        <v>0.62876223883523696</v>
      </c>
      <c r="N21" s="9">
        <v>1.7312008971197199</v>
      </c>
      <c r="O21" s="9">
        <v>8.3415939422231494E-2</v>
      </c>
      <c r="P21" s="10" t="s">
        <v>29</v>
      </c>
    </row>
    <row r="22" spans="2:16" x14ac:dyDescent="0.2">
      <c r="B22" s="28" t="s">
        <v>43</v>
      </c>
      <c r="C22" s="28"/>
      <c r="D22" s="28"/>
      <c r="E22" s="28"/>
      <c r="F22" s="28"/>
      <c r="G22" s="28"/>
      <c r="H22" s="28"/>
      <c r="J22" s="10">
        <v>11</v>
      </c>
      <c r="K22" s="10" t="s">
        <v>52</v>
      </c>
      <c r="L22" s="8">
        <v>-0.533725296331237</v>
      </c>
      <c r="M22" s="9">
        <v>0.20996102907821801</v>
      </c>
      <c r="N22" s="9">
        <v>-2.5420207677321098</v>
      </c>
      <c r="O22" s="9">
        <v>1.1021362468673E-2</v>
      </c>
      <c r="P22" s="10" t="s">
        <v>29</v>
      </c>
    </row>
    <row r="23" spans="2:16" x14ac:dyDescent="0.2">
      <c r="B23" t="s">
        <v>69</v>
      </c>
      <c r="C23">
        <v>11</v>
      </c>
      <c r="J23" s="10">
        <v>12</v>
      </c>
      <c r="K23" s="10" t="s">
        <v>53</v>
      </c>
      <c r="L23" s="8">
        <v>-0.207953294181555</v>
      </c>
      <c r="M23" s="9">
        <v>0.26298884779816301</v>
      </c>
      <c r="N23" s="9">
        <v>-0.79073046603540498</v>
      </c>
      <c r="O23" s="9">
        <v>0.42910129374318201</v>
      </c>
      <c r="P23" s="10" t="s">
        <v>29</v>
      </c>
    </row>
    <row r="24" spans="2:16" x14ac:dyDescent="0.2">
      <c r="B24" t="s">
        <v>70</v>
      </c>
      <c r="C24">
        <v>127</v>
      </c>
      <c r="J24" s="10">
        <v>13</v>
      </c>
      <c r="K24" s="10" t="s">
        <v>54</v>
      </c>
      <c r="L24" s="8">
        <v>-2.8706532920303101</v>
      </c>
      <c r="M24" s="9">
        <v>1.41920349174805</v>
      </c>
      <c r="N24" s="9">
        <v>-2.02272141290638</v>
      </c>
      <c r="O24" s="9">
        <v>4.31018779431451E-2</v>
      </c>
      <c r="P24" s="10" t="s">
        <v>29</v>
      </c>
    </row>
    <row r="25" spans="2:16" x14ac:dyDescent="0.2">
      <c r="B25" t="s">
        <v>71</v>
      </c>
      <c r="C25" s="20">
        <v>-292.42829999999998</v>
      </c>
      <c r="J25" s="19">
        <v>14</v>
      </c>
      <c r="K25" s="19" t="s">
        <v>55</v>
      </c>
      <c r="L25" s="23">
        <v>-3.34552701937523</v>
      </c>
      <c r="M25" s="18">
        <v>0.83376586893195004</v>
      </c>
      <c r="N25" s="18">
        <v>-4.0125497385265101</v>
      </c>
      <c r="O25" s="18">
        <v>6.0066417526316503E-5</v>
      </c>
      <c r="P25" s="19" t="s">
        <v>29</v>
      </c>
    </row>
    <row r="26" spans="2:16" x14ac:dyDescent="0.2">
      <c r="B26" t="s">
        <v>72</v>
      </c>
      <c r="C26" s="20">
        <v>-136.6482</v>
      </c>
      <c r="J26" s="28" t="s">
        <v>43</v>
      </c>
      <c r="K26" s="28"/>
      <c r="L26" s="28"/>
      <c r="M26" s="28"/>
      <c r="N26" s="28"/>
      <c r="O26" s="28"/>
      <c r="P26" s="28"/>
    </row>
    <row r="27" spans="2:16" x14ac:dyDescent="0.2">
      <c r="B27" t="s">
        <v>73</v>
      </c>
      <c r="C27" s="20">
        <f>-2*(C25-C26)</f>
        <v>311.56019999999995</v>
      </c>
      <c r="J27" t="s">
        <v>69</v>
      </c>
      <c r="K27">
        <v>15</v>
      </c>
      <c r="L27" s="12"/>
      <c r="M27" s="12"/>
      <c r="N27" s="12"/>
      <c r="O27" s="12"/>
    </row>
    <row r="28" spans="2:16" x14ac:dyDescent="0.2">
      <c r="B28" t="s">
        <v>74</v>
      </c>
      <c r="C28" s="20">
        <v>295.29640000000001</v>
      </c>
      <c r="J28" t="s">
        <v>70</v>
      </c>
      <c r="K28">
        <v>127</v>
      </c>
      <c r="L28" s="12"/>
      <c r="M28" s="12"/>
      <c r="N28" s="12"/>
      <c r="O28" s="12"/>
    </row>
    <row r="29" spans="2:16" x14ac:dyDescent="0.2">
      <c r="B29" t="s">
        <v>75</v>
      </c>
      <c r="C29" s="20">
        <v>326.58240000000001</v>
      </c>
      <c r="J29" t="s">
        <v>71</v>
      </c>
      <c r="K29" s="20">
        <v>-292.42829999999998</v>
      </c>
      <c r="L29" s="12"/>
      <c r="M29" s="12"/>
      <c r="N29" s="12"/>
      <c r="O29" s="12"/>
    </row>
    <row r="30" spans="2:16" x14ac:dyDescent="0.2">
      <c r="J30" t="s">
        <v>72</v>
      </c>
      <c r="K30" s="20">
        <v>-124.4284</v>
      </c>
      <c r="L30" s="12"/>
      <c r="M30" s="12"/>
      <c r="N30" s="12"/>
      <c r="O30" s="12"/>
    </row>
    <row r="31" spans="2:16" x14ac:dyDescent="0.2">
      <c r="B31" s="29" t="s">
        <v>78</v>
      </c>
      <c r="C31" s="29"/>
      <c r="D31" s="29"/>
      <c r="E31" s="29"/>
      <c r="F31" s="29"/>
      <c r="G31" s="29"/>
      <c r="H31" s="29"/>
      <c r="J31" t="s">
        <v>73</v>
      </c>
      <c r="K31" s="20">
        <f>-2*(K29-K30)</f>
        <v>335.99979999999994</v>
      </c>
      <c r="L31" s="12"/>
      <c r="M31" s="12"/>
      <c r="N31" s="12"/>
      <c r="O31" s="12"/>
    </row>
    <row r="32" spans="2:16" x14ac:dyDescent="0.2">
      <c r="B32" s="1" t="s">
        <v>68</v>
      </c>
      <c r="C32" s="1"/>
      <c r="D32" s="1"/>
      <c r="E32" s="1"/>
      <c r="F32" s="1"/>
      <c r="G32" s="1"/>
      <c r="H32" s="1"/>
      <c r="J32" t="s">
        <v>74</v>
      </c>
      <c r="K32" s="20">
        <v>278.85669999999999</v>
      </c>
    </row>
    <row r="33" spans="2:16" x14ac:dyDescent="0.2">
      <c r="J33" t="s">
        <v>75</v>
      </c>
      <c r="K33" s="20">
        <v>321.51949999999999</v>
      </c>
    </row>
    <row r="34" spans="2:16" x14ac:dyDescent="0.2">
      <c r="B34" t="s">
        <v>64</v>
      </c>
      <c r="C34">
        <f>K27-C23</f>
        <v>4</v>
      </c>
    </row>
    <row r="35" spans="2:16" x14ac:dyDescent="0.2">
      <c r="B35" t="s">
        <v>65</v>
      </c>
      <c r="C35" s="20">
        <f>-2*(C26-K30)</f>
        <v>24.439600000000013</v>
      </c>
      <c r="J35" s="14"/>
      <c r="K35" s="14"/>
      <c r="L35" s="14"/>
      <c r="M35" s="14"/>
      <c r="N35" s="14"/>
      <c r="O35" s="14"/>
      <c r="P35" s="14"/>
    </row>
    <row r="36" spans="2:16" ht="20" x14ac:dyDescent="0.25">
      <c r="B36" t="s">
        <v>66</v>
      </c>
      <c r="C36">
        <v>9.4879999999999995</v>
      </c>
      <c r="D36" s="16" t="s">
        <v>7</v>
      </c>
      <c r="E36" s="27" t="str">
        <f>IF(C35&lt;C36,"H0 cannot be rejected","H0 rejected")</f>
        <v>H0 rejected</v>
      </c>
      <c r="F36" s="27"/>
      <c r="G36" s="27"/>
      <c r="H36" s="27"/>
      <c r="J36" s="1"/>
      <c r="K36" s="1"/>
      <c r="L36" s="1"/>
      <c r="M36" s="1"/>
      <c r="N36" s="1"/>
      <c r="O36" s="1"/>
      <c r="P36" s="1"/>
    </row>
    <row r="40" spans="2:16" x14ac:dyDescent="0.2">
      <c r="L40" s="3"/>
      <c r="M40" s="25"/>
      <c r="N40" s="24"/>
      <c r="O40" s="24"/>
      <c r="P40" s="24"/>
    </row>
  </sheetData>
  <mergeCells count="6">
    <mergeCell ref="B22:H22"/>
    <mergeCell ref="J26:P26"/>
    <mergeCell ref="B31:H31"/>
    <mergeCell ref="E36:H36"/>
    <mergeCell ref="B9:H9"/>
    <mergeCell ref="J9:P9"/>
  </mergeCells>
  <conditionalFormatting sqref="E36:H36">
    <cfRule type="cellIs" dxfId="3" priority="3" operator="equal">
      <formula>"H0 cannot be rejected"</formula>
    </cfRule>
    <cfRule type="cellIs" dxfId="2" priority="4" operator="equal">
      <formula>"H0 rejected"</formula>
    </cfRule>
  </conditionalFormatting>
  <conditionalFormatting sqref="M40:P40">
    <cfRule type="cellIs" dxfId="1" priority="1" operator="equal">
      <formula>"H0 cannot be rejected"</formula>
    </cfRule>
    <cfRule type="cellIs" dxfId="0" priority="2" operator="equal">
      <formula>"H0 rejected"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House_01</vt:lpstr>
      <vt:lpstr>House_02</vt:lpstr>
      <vt:lpstr>House_03</vt:lpstr>
      <vt:lpstr>House_04</vt:lpstr>
      <vt:lpstr>House_05</vt:lpstr>
      <vt:lpstr>House_06</vt:lpstr>
      <vt:lpstr>House_07</vt:lpstr>
      <vt:lpstr>House_08</vt:lpstr>
      <vt:lpstr>House_09</vt:lpstr>
      <vt:lpstr>House_10</vt:lpstr>
      <vt:lpstr>House_11</vt:lpstr>
      <vt:lpstr>House_12</vt:lpstr>
      <vt:lpstr>House_13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Dario Vezzali</dc:creator>
  <cp:lastModifiedBy>Dario Vezzali</cp:lastModifiedBy>
  <dcterms:created xsi:type="dcterms:W3CDTF">2025-12-17T10:01:07Z</dcterms:created>
  <dcterms:modified xsi:type="dcterms:W3CDTF">2026-07-28T08:42:00Z</dcterms:modified>
</cp:coreProperties>
</file>