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ovezzali/Development/Pandas-Biogeme/Pandas-Biogeme/output/"/>
    </mc:Choice>
  </mc:AlternateContent>
  <xr:revisionPtr revIDLastSave="0" documentId="13_ncr:1_{F0DC4D99-F2AC-A84E-8A62-5115E8963B89}" xr6:coauthVersionLast="47" xr6:coauthVersionMax="47" xr10:uidLastSave="{00000000-0000-0000-0000-000000000000}"/>
  <bookViews>
    <workbookView xWindow="0" yWindow="780" windowWidth="34200" windowHeight="19940" xr2:uid="{ADD43ED2-A73A-FE49-A984-2AB27DA5AEBD}"/>
  </bookViews>
  <sheets>
    <sheet name="House_01" sheetId="14" r:id="rId1"/>
    <sheet name="House_02" sheetId="15" r:id="rId2"/>
    <sheet name="House_03" sheetId="16" r:id="rId3"/>
    <sheet name="House_04" sheetId="17" r:id="rId4"/>
    <sheet name="House_05" sheetId="18" r:id="rId5"/>
    <sheet name="House_06" sheetId="19" r:id="rId6"/>
    <sheet name="House_07" sheetId="20" r:id="rId7"/>
    <sheet name="House_08" sheetId="21" r:id="rId8"/>
    <sheet name="House_09" sheetId="22" r:id="rId9"/>
    <sheet name="House_10" sheetId="23" r:id="rId10"/>
    <sheet name="House_11" sheetId="24" r:id="rId11"/>
    <sheet name="House_12" sheetId="25" r:id="rId12"/>
    <sheet name="House_13" sheetId="26" r:id="rId13"/>
    <sheet name="Summary" sheetId="27" r:id="rId14"/>
    <sheet name="Summary - Significant" sheetId="28" r:id="rId15"/>
  </sheets>
  <definedNames>
    <definedName name="H01_M3">House_01!$S$11:$X$31</definedName>
    <definedName name="H02_M3">House_02!$K$10:$P$25</definedName>
    <definedName name="H03_M3">House_03!$S$11:$X$31</definedName>
    <definedName name="H04_M3">House_04!$S$11:$X$31</definedName>
    <definedName name="H05_M3">House_05!$K$11:$P$31</definedName>
    <definedName name="H06_M3">House_06!$K$9:$P$19</definedName>
    <definedName name="H07_M3">House_07!$S$11:$X$31</definedName>
    <definedName name="H08_M3">House_08!$K$10:$P$25</definedName>
    <definedName name="H09_M3">House_09!$K$9:$P$19</definedName>
    <definedName name="H10_M3">House_10!$S$12:$X$37</definedName>
    <definedName name="H11_M3">House_11!$S$12:$X$37</definedName>
    <definedName name="H12_M3">House_12!$K$11:$P$31</definedName>
    <definedName name="H13_M3">House_13!$K$10:$P$25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27" l="1" a="1"/>
  <c r="AF6" i="27" s="1"/>
  <c r="AF7" i="27" a="1"/>
  <c r="AF7" i="27" s="1"/>
  <c r="AF8" i="27" a="1"/>
  <c r="AF8" i="27" s="1"/>
  <c r="AF9" i="27" a="1"/>
  <c r="AF9" i="27" s="1"/>
  <c r="AF5" i="27" a="1"/>
  <c r="AF5" i="27" s="1"/>
  <c r="AE6" i="27" a="1"/>
  <c r="AE6" i="27" s="1"/>
  <c r="AE7" i="27" a="1"/>
  <c r="AE7" i="27" s="1"/>
  <c r="AE8" i="27" a="1"/>
  <c r="AE8" i="27" s="1"/>
  <c r="AE9" i="27" a="1"/>
  <c r="AE9" i="27" s="1"/>
  <c r="AE5" i="27" a="1"/>
  <c r="AE5" i="27" s="1"/>
  <c r="AD6" i="27" a="1"/>
  <c r="AD6" i="27" s="1"/>
  <c r="AD7" i="27" a="1"/>
  <c r="AD7" i="27" s="1"/>
  <c r="AD8" i="27" a="1"/>
  <c r="AD8" i="27" s="1"/>
  <c r="AD9" i="27" a="1"/>
  <c r="AD9" i="27" s="1"/>
  <c r="AD5" i="27" a="1"/>
  <c r="AD5" i="27" s="1"/>
  <c r="AF44" i="27" a="1"/>
  <c r="AF44" i="27" s="1"/>
  <c r="AE44" i="27" a="1"/>
  <c r="AE44" i="27" s="1"/>
  <c r="AD44" i="27" a="1"/>
  <c r="AD44" i="27" s="1"/>
  <c r="AF43" i="27" a="1"/>
  <c r="AF43" i="27" s="1"/>
  <c r="AE43" i="27" a="1"/>
  <c r="AE43" i="27" s="1"/>
  <c r="AD43" i="27" a="1"/>
  <c r="AD43" i="27" s="1"/>
  <c r="AF42" i="27" a="1"/>
  <c r="AF42" i="27" s="1"/>
  <c r="AE42" i="27" a="1"/>
  <c r="AE42" i="27" s="1"/>
  <c r="AD42" i="27" a="1"/>
  <c r="AD42" i="27" s="1"/>
  <c r="AF41" i="27" a="1"/>
  <c r="AF41" i="27" s="1"/>
  <c r="AE41" i="27" a="1"/>
  <c r="AE41" i="27" s="1"/>
  <c r="AD41" i="27" a="1"/>
  <c r="AD41" i="27" s="1"/>
  <c r="AF40" i="27" a="1"/>
  <c r="AF40" i="27" s="1"/>
  <c r="AE40" i="27" a="1"/>
  <c r="AE40" i="27" s="1"/>
  <c r="AD40" i="27" a="1"/>
  <c r="AD40" i="27" s="1"/>
  <c r="AF37" i="27" a="1"/>
  <c r="AF37" i="27" s="1"/>
  <c r="AE37" i="27" a="1"/>
  <c r="AE37" i="27" s="1"/>
  <c r="AD37" i="27" a="1"/>
  <c r="AD37" i="27" s="1"/>
  <c r="AF36" i="27" a="1"/>
  <c r="AF36" i="27" s="1"/>
  <c r="AE36" i="27" a="1"/>
  <c r="AE36" i="27" s="1"/>
  <c r="AD36" i="27" a="1"/>
  <c r="AD36" i="27" s="1"/>
  <c r="AF35" i="27" a="1"/>
  <c r="AF35" i="27" s="1"/>
  <c r="AE35" i="27" a="1"/>
  <c r="AE35" i="27" s="1"/>
  <c r="AD35" i="27" a="1"/>
  <c r="AD35" i="27" s="1"/>
  <c r="AF34" i="27" a="1"/>
  <c r="AF34" i="27" s="1"/>
  <c r="AE34" i="27" a="1"/>
  <c r="AE34" i="27" s="1"/>
  <c r="AD34" i="27" a="1"/>
  <c r="AD34" i="27" s="1"/>
  <c r="AF33" i="27" a="1"/>
  <c r="AF33" i="27" s="1"/>
  <c r="AE33" i="27" a="1"/>
  <c r="AE33" i="27" s="1"/>
  <c r="AD33" i="27" a="1"/>
  <c r="AD33" i="27" s="1"/>
  <c r="AF27" i="27" a="1"/>
  <c r="AF27" i="27" s="1"/>
  <c r="AF28" i="27" a="1"/>
  <c r="AF28" i="27"/>
  <c r="AF29" i="27" a="1"/>
  <c r="AF29" i="27" s="1"/>
  <c r="AF30" i="27" a="1"/>
  <c r="AF30" i="27" s="1"/>
  <c r="AF26" i="27" a="1"/>
  <c r="AF26" i="27" s="1"/>
  <c r="AD27" i="27" a="1"/>
  <c r="AD27" i="27" s="1"/>
  <c r="AE27" i="27" a="1"/>
  <c r="AE27" i="27" s="1"/>
  <c r="AD28" i="27" a="1"/>
  <c r="AD28" i="27" s="1"/>
  <c r="AE28" i="27" a="1"/>
  <c r="AE28" i="27" s="1"/>
  <c r="AD29" i="27" a="1"/>
  <c r="AD29" i="27" s="1"/>
  <c r="AE29" i="27" a="1"/>
  <c r="AE29" i="27"/>
  <c r="AD30" i="27" a="1"/>
  <c r="AD30" i="27" s="1"/>
  <c r="AE30" i="27" a="1"/>
  <c r="AE30" i="27"/>
  <c r="AE26" i="27" a="1"/>
  <c r="AE26" i="27" s="1"/>
  <c r="AD26" i="27" a="1"/>
  <c r="AD26" i="27" s="1"/>
  <c r="U35" i="28"/>
  <c r="AE35" i="28" s="1"/>
  <c r="AG44" i="28"/>
  <c r="AF44" i="28"/>
  <c r="AE44" i="28"/>
  <c r="AD44" i="28"/>
  <c r="AG43" i="28"/>
  <c r="AF43" i="28"/>
  <c r="AE43" i="28"/>
  <c r="AD43" i="28"/>
  <c r="AG41" i="28"/>
  <c r="AF41" i="28"/>
  <c r="AE41" i="28"/>
  <c r="AD41" i="28"/>
  <c r="AG40" i="28"/>
  <c r="AF40" i="28"/>
  <c r="AE40" i="28"/>
  <c r="AD40" i="28"/>
  <c r="AG42" i="28"/>
  <c r="AF42" i="28"/>
  <c r="AE42" i="28"/>
  <c r="AD42" i="28"/>
  <c r="AD35" i="28"/>
  <c r="AF35" i="28"/>
  <c r="AG35" i="28"/>
  <c r="AD36" i="28"/>
  <c r="AE36" i="28"/>
  <c r="AF36" i="28"/>
  <c r="AG36" i="28"/>
  <c r="AD37" i="28"/>
  <c r="AE37" i="28"/>
  <c r="AF37" i="28"/>
  <c r="AG37" i="28"/>
  <c r="AD27" i="28"/>
  <c r="AE27" i="28"/>
  <c r="AF27" i="28"/>
  <c r="AG27" i="28"/>
  <c r="AD29" i="28"/>
  <c r="AE29" i="28"/>
  <c r="AF29" i="28"/>
  <c r="AG29" i="28"/>
  <c r="AD30" i="28"/>
  <c r="AE30" i="28"/>
  <c r="AF30" i="28"/>
  <c r="AG30" i="28"/>
  <c r="AD26" i="28"/>
  <c r="O16" i="28"/>
  <c r="AF9" i="28" s="1"/>
  <c r="O15" i="28"/>
  <c r="AG6" i="28"/>
  <c r="AG7" i="28"/>
  <c r="AG8" i="28"/>
  <c r="AG9" i="28"/>
  <c r="AG5" i="28"/>
  <c r="AF6" i="28"/>
  <c r="AF7" i="28"/>
  <c r="AF8" i="28"/>
  <c r="AF5" i="28"/>
  <c r="AE6" i="28"/>
  <c r="AE7" i="28"/>
  <c r="AE8" i="28"/>
  <c r="AE5" i="28"/>
  <c r="AD6" i="28"/>
  <c r="AD7" i="28"/>
  <c r="AD8" i="28"/>
  <c r="AD9" i="28"/>
  <c r="AD5" i="28"/>
  <c r="X44" i="28"/>
  <c r="W44" i="28"/>
  <c r="P44" i="28"/>
  <c r="O44" i="28"/>
  <c r="N44" i="28"/>
  <c r="M44" i="28"/>
  <c r="J44" i="28"/>
  <c r="I44" i="28"/>
  <c r="F44" i="28"/>
  <c r="E44" i="28"/>
  <c r="D44" i="28"/>
  <c r="C44" i="28"/>
  <c r="AB43" i="28"/>
  <c r="AA43" i="28"/>
  <c r="Z43" i="28"/>
  <c r="Y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N42" i="28"/>
  <c r="M42" i="28"/>
  <c r="J42" i="28"/>
  <c r="I42" i="28"/>
  <c r="D42" i="28"/>
  <c r="C42" i="28"/>
  <c r="T41" i="28"/>
  <c r="S41" i="28"/>
  <c r="P41" i="28"/>
  <c r="O41" i="28"/>
  <c r="J41" i="28"/>
  <c r="I41" i="28"/>
  <c r="AB40" i="28"/>
  <c r="AA40" i="28"/>
  <c r="V40" i="28"/>
  <c r="U40" i="28"/>
  <c r="F40" i="28"/>
  <c r="E40" i="28"/>
  <c r="V37" i="28"/>
  <c r="U37" i="28"/>
  <c r="R37" i="28"/>
  <c r="Q37" i="28"/>
  <c r="Z36" i="28"/>
  <c r="Y36" i="28"/>
  <c r="V36" i="28"/>
  <c r="U36" i="28"/>
  <c r="R36" i="28"/>
  <c r="Q36" i="28"/>
  <c r="L36" i="28"/>
  <c r="K36" i="28"/>
  <c r="V35" i="28"/>
  <c r="R35" i="28"/>
  <c r="Q35" i="28"/>
  <c r="L35" i="28"/>
  <c r="K35" i="28"/>
  <c r="AB30" i="28"/>
  <c r="AA30" i="28"/>
  <c r="X30" i="28"/>
  <c r="W30" i="28"/>
  <c r="V30" i="28"/>
  <c r="U30" i="28"/>
  <c r="T30" i="28"/>
  <c r="S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AB29" i="28"/>
  <c r="AA29" i="28"/>
  <c r="X29" i="28"/>
  <c r="W29" i="28"/>
  <c r="V29" i="28"/>
  <c r="U29" i="28"/>
  <c r="T29" i="28"/>
  <c r="S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T27" i="28"/>
  <c r="S27" i="28"/>
  <c r="P27" i="28"/>
  <c r="O27" i="28"/>
  <c r="N27" i="28"/>
  <c r="M27" i="28"/>
  <c r="J27" i="28"/>
  <c r="I27" i="28"/>
  <c r="H27" i="28"/>
  <c r="G27" i="28"/>
  <c r="D27" i="28"/>
  <c r="C27" i="28"/>
  <c r="P26" i="28"/>
  <c r="O26" i="28"/>
  <c r="X16" i="28"/>
  <c r="W16" i="28"/>
  <c r="P16" i="28"/>
  <c r="P15" i="28"/>
  <c r="H15" i="28"/>
  <c r="G15" i="28"/>
  <c r="J14" i="28"/>
  <c r="I14" i="28"/>
  <c r="P9" i="28"/>
  <c r="O9" i="28"/>
  <c r="L9" i="28"/>
  <c r="K9" i="28"/>
  <c r="J9" i="28"/>
  <c r="I9" i="28"/>
  <c r="AB8" i="28"/>
  <c r="AA8" i="28"/>
  <c r="Z8" i="28"/>
  <c r="Y8" i="28"/>
  <c r="R8" i="28"/>
  <c r="Q8" i="28"/>
  <c r="J8" i="28"/>
  <c r="I8" i="28"/>
  <c r="F8" i="28"/>
  <c r="E8" i="28"/>
  <c r="R7" i="28"/>
  <c r="Q7" i="28"/>
  <c r="L6" i="28"/>
  <c r="K6" i="28"/>
  <c r="J6" i="28"/>
  <c r="I6" i="28"/>
  <c r="H6" i="28"/>
  <c r="G6" i="28"/>
  <c r="Z5" i="28"/>
  <c r="Y5" i="28"/>
  <c r="L5" i="28"/>
  <c r="K5" i="28"/>
  <c r="H5" i="28"/>
  <c r="G5" i="28"/>
  <c r="AB44" i="27"/>
  <c r="AA44" i="27"/>
  <c r="AB43" i="27"/>
  <c r="AA43" i="27"/>
  <c r="AB42" i="27"/>
  <c r="AA42" i="27"/>
  <c r="AB41" i="27"/>
  <c r="AA41" i="27"/>
  <c r="AB40" i="27"/>
  <c r="AA40" i="27"/>
  <c r="AB30" i="27"/>
  <c r="AA30" i="27"/>
  <c r="AB29" i="27"/>
  <c r="AA29" i="27"/>
  <c r="AB28" i="27"/>
  <c r="AA28" i="27"/>
  <c r="AB27" i="27"/>
  <c r="AA27" i="27"/>
  <c r="AB26" i="27"/>
  <c r="AA26" i="27"/>
  <c r="AA6" i="27"/>
  <c r="AB6" i="27"/>
  <c r="AA7" i="27"/>
  <c r="AB7" i="27"/>
  <c r="AA8" i="27"/>
  <c r="AB8" i="27"/>
  <c r="AA9" i="27"/>
  <c r="AB9" i="27"/>
  <c r="AB5" i="27"/>
  <c r="AA5" i="27"/>
  <c r="Z44" i="27"/>
  <c r="Y44" i="27"/>
  <c r="Z43" i="27"/>
  <c r="Y43" i="27"/>
  <c r="Z42" i="27"/>
  <c r="Y42" i="27"/>
  <c r="Z41" i="27"/>
  <c r="Y41" i="27"/>
  <c r="Z40" i="27"/>
  <c r="Y40" i="27"/>
  <c r="Z37" i="27"/>
  <c r="Y37" i="27"/>
  <c r="Z36" i="27"/>
  <c r="Y36" i="27"/>
  <c r="Z35" i="27"/>
  <c r="Y35" i="27"/>
  <c r="Z34" i="27"/>
  <c r="Y34" i="27"/>
  <c r="Z33" i="27"/>
  <c r="Y33" i="27"/>
  <c r="Z30" i="27"/>
  <c r="Y30" i="27"/>
  <c r="Z29" i="27"/>
  <c r="Y29" i="27"/>
  <c r="Z28" i="27"/>
  <c r="Y28" i="27"/>
  <c r="Z27" i="27"/>
  <c r="Y27" i="27"/>
  <c r="Z26" i="27"/>
  <c r="Y26" i="27"/>
  <c r="Y6" i="27"/>
  <c r="Z6" i="27"/>
  <c r="Y7" i="27"/>
  <c r="Z7" i="27"/>
  <c r="Y8" i="27"/>
  <c r="Z8" i="27"/>
  <c r="Y9" i="27"/>
  <c r="Z9" i="27"/>
  <c r="Z5" i="27"/>
  <c r="Y5" i="27"/>
  <c r="X44" i="27"/>
  <c r="W44" i="27"/>
  <c r="X43" i="27"/>
  <c r="W43" i="27"/>
  <c r="X42" i="27"/>
  <c r="W42" i="27"/>
  <c r="X41" i="27"/>
  <c r="W41" i="27"/>
  <c r="X40" i="27"/>
  <c r="W40" i="27"/>
  <c r="X30" i="27"/>
  <c r="W30" i="27"/>
  <c r="X29" i="27"/>
  <c r="W29" i="27"/>
  <c r="X28" i="27"/>
  <c r="W28" i="27"/>
  <c r="X27" i="27"/>
  <c r="W27" i="27"/>
  <c r="X26" i="27"/>
  <c r="W26" i="27"/>
  <c r="X23" i="27"/>
  <c r="W23" i="27"/>
  <c r="X22" i="27"/>
  <c r="W22" i="27"/>
  <c r="X21" i="27"/>
  <c r="W21" i="27"/>
  <c r="X20" i="27"/>
  <c r="W20" i="27"/>
  <c r="X19" i="27"/>
  <c r="W19" i="27"/>
  <c r="X16" i="27"/>
  <c r="W16" i="27"/>
  <c r="X15" i="27"/>
  <c r="W15" i="27"/>
  <c r="X14" i="27"/>
  <c r="W14" i="27"/>
  <c r="X13" i="27"/>
  <c r="W13" i="27"/>
  <c r="X12" i="27"/>
  <c r="W12" i="27"/>
  <c r="W6" i="27"/>
  <c r="X6" i="27"/>
  <c r="W7" i="27"/>
  <c r="X7" i="27"/>
  <c r="W8" i="27"/>
  <c r="X8" i="27"/>
  <c r="W9" i="27"/>
  <c r="X9" i="27"/>
  <c r="X5" i="27"/>
  <c r="W5" i="27"/>
  <c r="V44" i="27"/>
  <c r="U44" i="27"/>
  <c r="V43" i="27"/>
  <c r="U43" i="27"/>
  <c r="V42" i="27"/>
  <c r="U42" i="27"/>
  <c r="V41" i="27"/>
  <c r="U41" i="27"/>
  <c r="V40" i="27"/>
  <c r="U40" i="27"/>
  <c r="V37" i="27"/>
  <c r="U37" i="27"/>
  <c r="V36" i="27"/>
  <c r="U36" i="27"/>
  <c r="V35" i="27"/>
  <c r="U35" i="27"/>
  <c r="V34" i="27"/>
  <c r="U34" i="27"/>
  <c r="V33" i="27"/>
  <c r="U33" i="27"/>
  <c r="V30" i="27"/>
  <c r="U30" i="27"/>
  <c r="V29" i="27"/>
  <c r="U29" i="27"/>
  <c r="V28" i="27"/>
  <c r="U28" i="27"/>
  <c r="V27" i="27"/>
  <c r="U27" i="27"/>
  <c r="V26" i="27"/>
  <c r="U26" i="27"/>
  <c r="V16" i="27"/>
  <c r="U16" i="27"/>
  <c r="V15" i="27"/>
  <c r="U15" i="27"/>
  <c r="V14" i="27"/>
  <c r="U14" i="27"/>
  <c r="V13" i="27"/>
  <c r="U13" i="27"/>
  <c r="V12" i="27"/>
  <c r="U12" i="27"/>
  <c r="U6" i="27"/>
  <c r="V6" i="27"/>
  <c r="U7" i="27"/>
  <c r="V7" i="27"/>
  <c r="U8" i="27"/>
  <c r="V8" i="27"/>
  <c r="U9" i="27"/>
  <c r="V9" i="27"/>
  <c r="V5" i="27"/>
  <c r="U5" i="27"/>
  <c r="T44" i="27"/>
  <c r="S44" i="27"/>
  <c r="T43" i="27"/>
  <c r="S43" i="27"/>
  <c r="T42" i="27"/>
  <c r="S42" i="27"/>
  <c r="T41" i="27"/>
  <c r="S41" i="27"/>
  <c r="T40" i="27"/>
  <c r="S40" i="27"/>
  <c r="S27" i="27"/>
  <c r="T27" i="27"/>
  <c r="S28" i="27"/>
  <c r="T28" i="27"/>
  <c r="S29" i="27"/>
  <c r="T29" i="27"/>
  <c r="S30" i="27"/>
  <c r="T30" i="27"/>
  <c r="T26" i="27"/>
  <c r="S26" i="27"/>
  <c r="R44" i="27"/>
  <c r="Q44" i="27"/>
  <c r="R43" i="27"/>
  <c r="Q43" i="27"/>
  <c r="R42" i="27"/>
  <c r="Q42" i="27"/>
  <c r="R41" i="27"/>
  <c r="Q41" i="27"/>
  <c r="R40" i="27"/>
  <c r="Q40" i="27"/>
  <c r="R37" i="27"/>
  <c r="Q37" i="27"/>
  <c r="R36" i="27"/>
  <c r="Q36" i="27"/>
  <c r="R35" i="27"/>
  <c r="Q35" i="27"/>
  <c r="R34" i="27"/>
  <c r="Q34" i="27"/>
  <c r="R33" i="27"/>
  <c r="Q33" i="27"/>
  <c r="Q6" i="27"/>
  <c r="R6" i="27"/>
  <c r="Q7" i="27"/>
  <c r="R7" i="27"/>
  <c r="Q8" i="27"/>
  <c r="R8" i="27"/>
  <c r="Q9" i="27"/>
  <c r="R9" i="27"/>
  <c r="R5" i="27"/>
  <c r="Q5" i="27"/>
  <c r="N44" i="27"/>
  <c r="M44" i="27"/>
  <c r="N43" i="27"/>
  <c r="M43" i="27"/>
  <c r="N42" i="27"/>
  <c r="M42" i="27"/>
  <c r="N41" i="27"/>
  <c r="M41" i="27"/>
  <c r="N40" i="27"/>
  <c r="M40" i="27"/>
  <c r="M27" i="27"/>
  <c r="N27" i="27"/>
  <c r="M28" i="27"/>
  <c r="N28" i="27"/>
  <c r="M29" i="27"/>
  <c r="N29" i="27"/>
  <c r="M30" i="27"/>
  <c r="N30" i="27"/>
  <c r="N26" i="27"/>
  <c r="M26" i="27"/>
  <c r="P44" i="27"/>
  <c r="O44" i="27"/>
  <c r="P43" i="27"/>
  <c r="O43" i="27"/>
  <c r="P42" i="27"/>
  <c r="O42" i="27"/>
  <c r="P41" i="27"/>
  <c r="O41" i="27"/>
  <c r="P40" i="27"/>
  <c r="O40" i="27"/>
  <c r="P30" i="27"/>
  <c r="O30" i="27"/>
  <c r="P29" i="27"/>
  <c r="O29" i="27"/>
  <c r="P28" i="27"/>
  <c r="O28" i="27"/>
  <c r="P27" i="27"/>
  <c r="O27" i="27"/>
  <c r="P26" i="27"/>
  <c r="O26" i="27"/>
  <c r="P16" i="27"/>
  <c r="O16" i="27"/>
  <c r="P15" i="27"/>
  <c r="O15" i="27"/>
  <c r="P14" i="27"/>
  <c r="O14" i="27"/>
  <c r="P13" i="27"/>
  <c r="O13" i="27"/>
  <c r="P12" i="27"/>
  <c r="O12" i="27"/>
  <c r="O6" i="27"/>
  <c r="P6" i="27"/>
  <c r="O7" i="27"/>
  <c r="P7" i="27"/>
  <c r="O8" i="27"/>
  <c r="P8" i="27"/>
  <c r="O9" i="27"/>
  <c r="P9" i="27"/>
  <c r="P5" i="27"/>
  <c r="O5" i="27"/>
  <c r="L44" i="27"/>
  <c r="K44" i="27"/>
  <c r="L43" i="27"/>
  <c r="K43" i="27"/>
  <c r="L42" i="27"/>
  <c r="K42" i="27"/>
  <c r="L41" i="27"/>
  <c r="K41" i="27"/>
  <c r="L40" i="27"/>
  <c r="K40" i="27"/>
  <c r="L37" i="27"/>
  <c r="K37" i="27"/>
  <c r="L36" i="27"/>
  <c r="K36" i="27"/>
  <c r="L35" i="27"/>
  <c r="K35" i="27"/>
  <c r="L34" i="27"/>
  <c r="K34" i="27"/>
  <c r="L33" i="27"/>
  <c r="K33" i="27"/>
  <c r="L30" i="27"/>
  <c r="K30" i="27"/>
  <c r="L29" i="27"/>
  <c r="K29" i="27"/>
  <c r="L28" i="27"/>
  <c r="K28" i="27"/>
  <c r="L27" i="27"/>
  <c r="K27" i="27"/>
  <c r="L26" i="27"/>
  <c r="K26" i="27"/>
  <c r="K9" i="27"/>
  <c r="L9" i="27"/>
  <c r="K6" i="27"/>
  <c r="L6" i="27"/>
  <c r="K7" i="27"/>
  <c r="L7" i="27"/>
  <c r="K8" i="27"/>
  <c r="L8" i="27"/>
  <c r="L5" i="27"/>
  <c r="K5" i="27"/>
  <c r="J44" i="27"/>
  <c r="I44" i="27"/>
  <c r="J43" i="27"/>
  <c r="I43" i="27"/>
  <c r="J42" i="27"/>
  <c r="I42" i="27"/>
  <c r="J41" i="27"/>
  <c r="I41" i="27"/>
  <c r="J40" i="27"/>
  <c r="I40" i="27"/>
  <c r="J30" i="27"/>
  <c r="I30" i="27"/>
  <c r="J29" i="27"/>
  <c r="I29" i="27"/>
  <c r="J28" i="27"/>
  <c r="I28" i="27"/>
  <c r="J27" i="27"/>
  <c r="I27" i="27"/>
  <c r="J26" i="27"/>
  <c r="I26" i="27"/>
  <c r="J16" i="27"/>
  <c r="I16" i="27"/>
  <c r="J15" i="27"/>
  <c r="I15" i="27"/>
  <c r="J14" i="27"/>
  <c r="I14" i="27"/>
  <c r="J13" i="27"/>
  <c r="I13" i="27"/>
  <c r="J12" i="27"/>
  <c r="I12" i="27"/>
  <c r="I6" i="27"/>
  <c r="J6" i="27"/>
  <c r="I7" i="27"/>
  <c r="J7" i="27"/>
  <c r="I8" i="27"/>
  <c r="J8" i="27"/>
  <c r="I9" i="27"/>
  <c r="J9" i="27"/>
  <c r="J5" i="27"/>
  <c r="I5" i="27"/>
  <c r="H44" i="27"/>
  <c r="G44" i="27"/>
  <c r="H43" i="27"/>
  <c r="G43" i="27"/>
  <c r="H42" i="27"/>
  <c r="G42" i="27"/>
  <c r="H41" i="27"/>
  <c r="G41" i="27"/>
  <c r="H40" i="27"/>
  <c r="G40" i="27"/>
  <c r="H30" i="27"/>
  <c r="G30" i="27"/>
  <c r="H29" i="27"/>
  <c r="G29" i="27"/>
  <c r="H28" i="27"/>
  <c r="G28" i="27"/>
  <c r="H27" i="27"/>
  <c r="G27" i="27"/>
  <c r="H26" i="27"/>
  <c r="G26" i="27"/>
  <c r="H16" i="27"/>
  <c r="G16" i="27"/>
  <c r="H15" i="27"/>
  <c r="G15" i="27"/>
  <c r="H14" i="27"/>
  <c r="G14" i="27"/>
  <c r="H13" i="27"/>
  <c r="G13" i="27"/>
  <c r="H12" i="27"/>
  <c r="G12" i="27"/>
  <c r="G6" i="27"/>
  <c r="H6" i="27"/>
  <c r="G7" i="27"/>
  <c r="H7" i="27"/>
  <c r="G8" i="27"/>
  <c r="H8" i="27"/>
  <c r="G9" i="27"/>
  <c r="H9" i="27"/>
  <c r="H5" i="27"/>
  <c r="G5" i="27"/>
  <c r="F44" i="27"/>
  <c r="E44" i="27"/>
  <c r="F43" i="27"/>
  <c r="E43" i="27"/>
  <c r="F42" i="27"/>
  <c r="E42" i="27"/>
  <c r="F41" i="27"/>
  <c r="E41" i="27"/>
  <c r="F40" i="27"/>
  <c r="E40" i="27"/>
  <c r="F30" i="27"/>
  <c r="E30" i="27"/>
  <c r="F29" i="27"/>
  <c r="E29" i="27"/>
  <c r="F28" i="27"/>
  <c r="E28" i="27"/>
  <c r="F27" i="27"/>
  <c r="E27" i="27"/>
  <c r="F26" i="27"/>
  <c r="E26" i="27"/>
  <c r="F9" i="27"/>
  <c r="E9" i="27"/>
  <c r="F8" i="27"/>
  <c r="E8" i="27"/>
  <c r="F7" i="27"/>
  <c r="E7" i="27"/>
  <c r="F6" i="27"/>
  <c r="E6" i="27"/>
  <c r="F5" i="27"/>
  <c r="E5" i="27"/>
  <c r="D44" i="27"/>
  <c r="C44" i="27"/>
  <c r="D43" i="27"/>
  <c r="C43" i="27"/>
  <c r="D42" i="27"/>
  <c r="C42" i="27"/>
  <c r="D41" i="27"/>
  <c r="C41" i="27"/>
  <c r="D40" i="27"/>
  <c r="C40" i="27"/>
  <c r="D30" i="27"/>
  <c r="C30" i="27"/>
  <c r="D29" i="27"/>
  <c r="C29" i="27"/>
  <c r="D28" i="27"/>
  <c r="C28" i="27"/>
  <c r="D27" i="27"/>
  <c r="C27" i="27"/>
  <c r="D26" i="27"/>
  <c r="C26" i="27"/>
  <c r="D16" i="27"/>
  <c r="C16" i="27"/>
  <c r="D15" i="27"/>
  <c r="C15" i="27"/>
  <c r="D14" i="27"/>
  <c r="C14" i="27"/>
  <c r="D13" i="27"/>
  <c r="C13" i="27"/>
  <c r="D12" i="27"/>
  <c r="C12" i="27"/>
  <c r="C6" i="27"/>
  <c r="D6" i="27"/>
  <c r="C7" i="27"/>
  <c r="D7" i="27"/>
  <c r="C8" i="27"/>
  <c r="D8" i="27"/>
  <c r="C9" i="27"/>
  <c r="D9" i="27"/>
  <c r="D5" i="27"/>
  <c r="C5" i="27"/>
  <c r="C36" i="26"/>
  <c r="C38" i="25"/>
  <c r="K44" i="24"/>
  <c r="C40" i="24"/>
  <c r="K48" i="23"/>
  <c r="C40" i="23"/>
  <c r="C36" i="21"/>
  <c r="K42" i="20"/>
  <c r="C38" i="20"/>
  <c r="C38" i="18"/>
  <c r="K42" i="17"/>
  <c r="C38" i="17"/>
  <c r="K42" i="16"/>
  <c r="C38" i="16"/>
  <c r="C36" i="15"/>
  <c r="K42" i="14"/>
  <c r="C38" i="14"/>
  <c r="K42" i="24"/>
  <c r="K29" i="26"/>
  <c r="K35" i="25"/>
  <c r="S41" i="24"/>
  <c r="K33" i="24"/>
  <c r="S41" i="23"/>
  <c r="K37" i="23"/>
  <c r="K23" i="22"/>
  <c r="K29" i="21"/>
  <c r="S35" i="20"/>
  <c r="K31" i="20"/>
  <c r="K24" i="19"/>
  <c r="K23" i="19"/>
  <c r="K35" i="18"/>
  <c r="K31" i="17"/>
  <c r="S35" i="17" s="1"/>
  <c r="K31" i="16"/>
  <c r="S35" i="16" s="1"/>
  <c r="K29" i="15"/>
  <c r="K31" i="14"/>
  <c r="S35" i="14" s="1"/>
  <c r="C37" i="14"/>
  <c r="K41" i="16"/>
  <c r="C37" i="16"/>
  <c r="C36" i="16"/>
  <c r="K40" i="16"/>
  <c r="AE9" i="28" l="1"/>
  <c r="C35" i="26"/>
  <c r="E36" i="26" s="1"/>
  <c r="C34" i="26"/>
  <c r="K31" i="26"/>
  <c r="C27" i="26"/>
  <c r="K37" i="25"/>
  <c r="C37" i="25"/>
  <c r="E38" i="25" s="1"/>
  <c r="C36" i="25"/>
  <c r="C29" i="25"/>
  <c r="K43" i="24"/>
  <c r="M44" i="24" s="1"/>
  <c r="S43" i="24"/>
  <c r="K35" i="24"/>
  <c r="C39" i="24"/>
  <c r="E40" i="24" s="1"/>
  <c r="C38" i="24"/>
  <c r="C31" i="24"/>
  <c r="K47" i="23"/>
  <c r="M48" i="23" s="1"/>
  <c r="K46" i="23"/>
  <c r="S43" i="23"/>
  <c r="C39" i="23"/>
  <c r="E40" i="23" s="1"/>
  <c r="C38" i="23"/>
  <c r="K39" i="23"/>
  <c r="C31" i="23"/>
  <c r="C33" i="22"/>
  <c r="C32" i="22"/>
  <c r="K25" i="22"/>
  <c r="C25" i="22"/>
  <c r="C35" i="21"/>
  <c r="E36" i="21" s="1"/>
  <c r="C34" i="21"/>
  <c r="K31" i="21"/>
  <c r="C27" i="21"/>
  <c r="C33" i="19"/>
  <c r="K41" i="20"/>
  <c r="M42" i="20" s="1"/>
  <c r="K40" i="20"/>
  <c r="S37" i="20"/>
  <c r="C37" i="20"/>
  <c r="E38" i="20" s="1"/>
  <c r="C36" i="20"/>
  <c r="K33" i="20"/>
  <c r="C29" i="20"/>
  <c r="C32" i="19"/>
  <c r="K25" i="19"/>
  <c r="C25" i="19"/>
  <c r="C37" i="18"/>
  <c r="E38" i="18" s="1"/>
  <c r="C36" i="18"/>
  <c r="K37" i="18"/>
  <c r="C29" i="18"/>
  <c r="K41" i="17"/>
  <c r="M42" i="17" s="1"/>
  <c r="K40" i="17"/>
  <c r="S37" i="17"/>
  <c r="C37" i="17"/>
  <c r="E38" i="17" s="1"/>
  <c r="C36" i="17"/>
  <c r="K33" i="17"/>
  <c r="C29" i="17"/>
  <c r="M42" i="16"/>
  <c r="S37" i="16"/>
  <c r="E38" i="16"/>
  <c r="K33" i="16"/>
  <c r="C29" i="16"/>
  <c r="C35" i="15"/>
  <c r="E36" i="15" s="1"/>
  <c r="C34" i="15"/>
  <c r="K31" i="15"/>
  <c r="C27" i="15"/>
  <c r="E38" i="14" l="1"/>
  <c r="C36" i="14"/>
  <c r="C29" i="14"/>
  <c r="K33" i="14"/>
  <c r="K41" i="14"/>
  <c r="M42" i="14" s="1"/>
  <c r="K40" i="14"/>
  <c r="S37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<sst xmlns="http://schemas.openxmlformats.org/spreadsheetml/2006/main" count="2812" uniqueCount="106">
  <si>
    <t>ac_1</t>
  </si>
  <si>
    <t>ac_2</t>
  </si>
  <si>
    <t>boiler</t>
  </si>
  <si>
    <t>washing_machine</t>
  </si>
  <si>
    <t>House_01</t>
  </si>
  <si>
    <t>NF</t>
  </si>
  <si>
    <t>F</t>
  </si>
  <si>
    <t>==&gt;</t>
  </si>
  <si>
    <t>House_02</t>
  </si>
  <si>
    <t>House_03</t>
  </si>
  <si>
    <t>House_04</t>
  </si>
  <si>
    <t>dishwasher</t>
  </si>
  <si>
    <t>House_05</t>
  </si>
  <si>
    <t>House_06</t>
  </si>
  <si>
    <t>House_07</t>
  </si>
  <si>
    <t>House_08</t>
  </si>
  <si>
    <t>House_09</t>
  </si>
  <si>
    <t>House_10</t>
  </si>
  <si>
    <t>House_11</t>
  </si>
  <si>
    <t>ac_3</t>
  </si>
  <si>
    <t>House_12</t>
  </si>
  <si>
    <t>House_13</t>
  </si>
  <si>
    <t>Name</t>
  </si>
  <si>
    <t>Value</t>
  </si>
  <si>
    <t>Robust std err.</t>
  </si>
  <si>
    <t>Robust t-stat.</t>
  </si>
  <si>
    <t>Robust p-value</t>
  </si>
  <si>
    <t>Active bound</t>
  </si>
  <si>
    <t>gamma_ac_1</t>
  </si>
  <si>
    <t>False</t>
  </si>
  <si>
    <t>True</t>
  </si>
  <si>
    <t>gamma_ac_2</t>
  </si>
  <si>
    <t>gamma_boiler</t>
  </si>
  <si>
    <t>gamma_washing_machine</t>
  </si>
  <si>
    <t>Parameter number</t>
  </si>
  <si>
    <t>Summary statistics</t>
  </si>
  <si>
    <t>df</t>
  </si>
  <si>
    <t>LR</t>
  </si>
  <si>
    <r>
      <t>χ</t>
    </r>
    <r>
      <rPr>
        <vertAlign val="superscript"/>
        <sz val="12"/>
        <color theme="1"/>
        <rFont val="Aptos Narrow (Corpo)"/>
      </rPr>
      <t>2</t>
    </r>
    <r>
      <rPr>
        <sz val="12"/>
        <color theme="1"/>
        <rFont val="Aptos Narrow"/>
        <family val="2"/>
        <scheme val="minor"/>
      </rPr>
      <t xml:space="preserve"> </t>
    </r>
    <r>
      <rPr>
        <vertAlign val="subscript"/>
        <sz val="12"/>
        <color theme="1"/>
        <rFont val="Aptos Narrow (Corpo)"/>
      </rPr>
      <t>0.95, 4</t>
    </r>
  </si>
  <si>
    <t>Number of estimated parameters</t>
  </si>
  <si>
    <t>Sample size</t>
  </si>
  <si>
    <t>Init log likelihood</t>
  </si>
  <si>
    <t>Final log likelihood</t>
  </si>
  <si>
    <t>Akaike Information Criterion</t>
  </si>
  <si>
    <t>Bayesian Information Criterion</t>
  </si>
  <si>
    <t>Appliance</t>
  </si>
  <si>
    <t>Flexibility profile</t>
  </si>
  <si>
    <t>gamma_dishwasher</t>
  </si>
  <si>
    <t>-</t>
  </si>
  <si>
    <t>gamma_ac_3</t>
  </si>
  <si>
    <r>
      <t>χ</t>
    </r>
    <r>
      <rPr>
        <vertAlign val="superscript"/>
        <sz val="12"/>
        <color theme="1"/>
        <rFont val="Aptos Narrow (Corpo)"/>
      </rPr>
      <t>2</t>
    </r>
    <r>
      <rPr>
        <sz val="12"/>
        <color theme="1"/>
        <rFont val="Aptos Narrow"/>
        <family val="2"/>
        <scheme val="minor"/>
      </rPr>
      <t xml:space="preserve"> </t>
    </r>
    <r>
      <rPr>
        <vertAlign val="subscript"/>
        <sz val="12"/>
        <color theme="1"/>
        <rFont val="Aptos Narrow (Corpo)"/>
      </rPr>
      <t>0.95, 8</t>
    </r>
  </si>
  <si>
    <t>Model 2 – Type-specific</t>
  </si>
  <si>
    <t>Model 1 – Generic</t>
  </si>
  <si>
    <t>Model 3 – Appliance-specific</t>
  </si>
  <si>
    <t>Model 1 – Generic – EQUIVALENT TO MODEL 3</t>
  </si>
  <si>
    <t>beta_NF_early</t>
  </si>
  <si>
    <t>beta_NF_late</t>
  </si>
  <si>
    <t>beta_NF_short</t>
  </si>
  <si>
    <t>beta_NF_long</t>
  </si>
  <si>
    <t>beta_F_early</t>
  </si>
  <si>
    <t>beta_F_late</t>
  </si>
  <si>
    <t>beta_F_short</t>
  </si>
  <si>
    <t>beta_F_long</t>
  </si>
  <si>
    <t>beta_ac_early</t>
  </si>
  <si>
    <t>beta_ac_1_early</t>
  </si>
  <si>
    <t>beta_ac_late</t>
  </si>
  <si>
    <t>beta_ac_1_late</t>
  </si>
  <si>
    <t>beta_ac_short</t>
  </si>
  <si>
    <t>beta_ac_1_short</t>
  </si>
  <si>
    <t>beta_ac_long</t>
  </si>
  <si>
    <t>beta_ac_1_long</t>
  </si>
  <si>
    <t>beta_ac_2_early</t>
  </si>
  <si>
    <t>beta_boiler_early</t>
  </si>
  <si>
    <t>beta_ac_2_late</t>
  </si>
  <si>
    <t>beta_boiler_late</t>
  </si>
  <si>
    <t>beta_ac_2_short</t>
  </si>
  <si>
    <t>beta_boiler_short</t>
  </si>
  <si>
    <t>beta_ac_2_long</t>
  </si>
  <si>
    <t>beta_boiler_long</t>
  </si>
  <si>
    <t>beta_washing_machine_early</t>
  </si>
  <si>
    <t>beta_washing_machine_late</t>
  </si>
  <si>
    <t>beta_washing_machine_short</t>
  </si>
  <si>
    <t>beta_washing_machine_long</t>
  </si>
  <si>
    <t>beta_dishwasher_early</t>
  </si>
  <si>
    <t>beta_dishwasher_late</t>
  </si>
  <si>
    <t>beta_dishwasher_short</t>
  </si>
  <si>
    <t>beta_dishwasher_long</t>
  </si>
  <si>
    <t>beta_ac_3_early</t>
  </si>
  <si>
    <t>beta_ac_3_late</t>
  </si>
  <si>
    <t>beta_ac_3_short</t>
  </si>
  <si>
    <t>beta_ac_3_long</t>
  </si>
  <si>
    <t>n/a</t>
  </si>
  <si>
    <t>Likelihood ratio test for the init. model</t>
  </si>
  <si>
    <t>H0: appliances of the same category share the same β parameters.</t>
  </si>
  <si>
    <t>H0: appliances of the same type share the same β parameters.</t>
  </si>
  <si>
    <t>Likelihood ratio test for Model 1 vs. Model 2</t>
  </si>
  <si>
    <t>Likelihood ratio test for Model 2 vs. Model 3</t>
  </si>
  <si>
    <t>Likelihood ratio test for Model 1 vs. Model 3</t>
  </si>
  <si>
    <t>Not applicable: one appliance per category (Model 1 ≡ Model 3).</t>
  </si>
  <si>
    <t>Mean</t>
  </si>
  <si>
    <t>Std. Dev</t>
  </si>
  <si>
    <t>Min</t>
  </si>
  <si>
    <t>Max</t>
  </si>
  <si>
    <t>Significant</t>
  </si>
  <si>
    <t>Not significant</t>
  </si>
  <si>
    <t>At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</si>
</sst>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6" formatCode="0.0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vertAlign val="superscript"/>
      <sz val="12"/>
      <color theme="1"/>
      <name val="Aptos Narrow (Corpo)"/>
    </font>
    <font>
      <vertAlign val="subscript"/>
      <sz val="12"/>
      <color theme="1"/>
      <name val="Aptos Narrow (Corpo)"/>
    </font>
    <font>
      <b/>
      <sz val="12"/>
      <color rgb="FF000000"/>
      <name val="Aptos Narrow"/>
      <scheme val="minor"/>
    </font>
    <font>
      <sz val="8"/>
      <name val="Aptos Narrow"/>
      <family val="2"/>
      <scheme val="minor"/>
    </font>
    <font>
      <b/>
      <sz val="12"/>
      <name val="Aptos Narrow"/>
      <scheme val="minor"/>
    </font>
    <font>
      <sz val="12"/>
      <color theme="0" tint="-4.9989318521683403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center"/>
    </xf>
    <xf numFmtId="0" fontId="0" fillId="4" borderId="0" xfId="0" applyFill="1" applyAlignment="1">
      <alignment horizontal="right"/>
    </xf>
    <xf numFmtId="0" fontId="3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164" fontId="0" fillId="0" borderId="0" xfId="0" applyNumberFormat="1"/>
    <xf numFmtId="164" fontId="0" fillId="0" borderId="1" xfId="0" applyNumberFormat="1" applyBorder="1" applyAlignment="1">
      <alignment horizontal="right"/>
    </xf>
    <xf numFmtId="0" fontId="1" fillId="0" borderId="0" xfId="0" applyFont="1"/>
    <xf numFmtId="164" fontId="0" fillId="0" borderId="0" xfId="0" quotePrefix="1" applyNumberFormat="1" applyAlignment="1">
      <alignment horizontal="center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1" fillId="2" borderId="0" xfId="0" applyFont="1" applyFill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2" fontId="1" fillId="3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0" fillId="3" borderId="0" xfId="0" applyNumberFormat="1" applyFill="1" applyAlignment="1">
      <alignment horizontal="right"/>
    </xf>
    <xf numFmtId="2" fontId="0" fillId="3" borderId="1" xfId="0" applyNumberFormat="1" applyFill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0" xfId="0" applyNumberFormat="1"/>
    <xf numFmtId="166" fontId="0" fillId="0" borderId="0" xfId="0" applyNumberFormat="1" applyAlignment="1">
      <alignment horizontal="right"/>
    </xf>
    <xf numFmtId="166" fontId="0" fillId="0" borderId="1" xfId="0" applyNumberFormat="1" applyBorder="1" applyAlignment="1">
      <alignment horizontal="right"/>
    </xf>
    <xf numFmtId="166" fontId="3" fillId="0" borderId="0" xfId="0" applyNumberFormat="1" applyFont="1" applyAlignment="1">
      <alignment horizontal="right"/>
    </xf>
    <xf numFmtId="166" fontId="3" fillId="0" borderId="1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3" borderId="1" xfId="0" applyNumberFormat="1" applyFont="1" applyFill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6" fillId="0" borderId="0" xfId="0" applyFont="1"/>
    <xf numFmtId="0" fontId="8" fillId="5" borderId="0" xfId="0" applyFont="1" applyFill="1" applyAlignment="1">
      <alignment horizontal="right"/>
    </xf>
    <xf numFmtId="0" fontId="3" fillId="0" borderId="0" xfId="0" applyFont="1" applyBorder="1" applyAlignment="1">
      <alignment horizontal="right"/>
    </xf>
    <xf numFmtId="2" fontId="1" fillId="0" borderId="0" xfId="0" applyNumberFormat="1" applyFon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0" fontId="9" fillId="0" borderId="0" xfId="0" applyNumberFormat="1" applyFont="1" applyBorder="1" applyAlignment="1">
      <alignment horizontal="right"/>
    </xf>
    <xf numFmtId="2" fontId="0" fillId="5" borderId="0" xfId="0" applyNumberFormat="1" applyFill="1" applyAlignment="1">
      <alignment horizontal="right"/>
    </xf>
    <xf numFmtId="166" fontId="0" fillId="5" borderId="0" xfId="0" applyNumberFormat="1" applyFill="1" applyAlignment="1">
      <alignment horizontal="right"/>
    </xf>
  </cellXfs>
  <cellStyles count="1">
    <cellStyle name="Normale" xfId="0" builtinId="0"/>
  </cellStyles>
  <dxfs count="256"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0FB4-F33E-AB49-A1FF-48F602E6B6A0}">
  <sheetPr>
    <tabColor rgb="FF00B0F0"/>
  </sheetPr>
  <dimension ref="B2:X42"/>
  <sheetViews>
    <sheetView tabSelected="1"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  <col min="18" max="18" width="31.83203125" bestFit="1" customWidth="1"/>
    <col min="19" max="19" width="26" bestFit="1" customWidth="1"/>
    <col min="20" max="22" width="12.83203125" bestFit="1" customWidth="1"/>
    <col min="23" max="23" width="13.1640625" bestFit="1" customWidth="1"/>
    <col min="24" max="24" width="11.5" bestFit="1" customWidth="1"/>
    <col min="25" max="25" width="6.33203125" customWidth="1"/>
  </cols>
  <sheetData>
    <row r="2" spans="2:24" x14ac:dyDescent="0.2">
      <c r="B2" s="13" t="s">
        <v>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2:24" x14ac:dyDescent="0.2">
      <c r="B4" s="12" t="s">
        <v>45</v>
      </c>
      <c r="C4" s="12" t="s">
        <v>46</v>
      </c>
      <c r="D4" s="2"/>
      <c r="E4" s="2"/>
      <c r="F4" s="2"/>
    </row>
    <row r="5" spans="2:24" x14ac:dyDescent="0.2">
      <c r="B5" s="5" t="s">
        <v>0</v>
      </c>
      <c r="C5" s="4" t="s">
        <v>5</v>
      </c>
      <c r="D5" s="2"/>
      <c r="E5" s="2"/>
      <c r="F5" s="2"/>
    </row>
    <row r="6" spans="2:24" x14ac:dyDescent="0.2">
      <c r="B6" s="5" t="s">
        <v>1</v>
      </c>
      <c r="C6" s="4" t="s">
        <v>5</v>
      </c>
      <c r="D6" s="2"/>
      <c r="E6" s="2"/>
      <c r="F6" s="2"/>
    </row>
    <row r="7" spans="2:24" x14ac:dyDescent="0.2">
      <c r="B7" s="5" t="s">
        <v>2</v>
      </c>
      <c r="C7" s="4" t="s">
        <v>5</v>
      </c>
      <c r="D7" s="2"/>
      <c r="E7" s="2"/>
      <c r="F7" s="2"/>
    </row>
    <row r="8" spans="2:24" x14ac:dyDescent="0.2">
      <c r="B8" s="5" t="s">
        <v>3</v>
      </c>
      <c r="C8" s="4" t="s">
        <v>6</v>
      </c>
      <c r="D8" s="2"/>
      <c r="E8" s="2"/>
      <c r="F8" s="2"/>
    </row>
    <row r="9" spans="2:24" x14ac:dyDescent="0.2">
      <c r="B9" s="5"/>
      <c r="D9" s="2"/>
      <c r="E9" s="2"/>
      <c r="F9" s="2"/>
    </row>
    <row r="10" spans="2:24" x14ac:dyDescent="0.2">
      <c r="B10" s="18" t="s">
        <v>52</v>
      </c>
      <c r="C10" s="18"/>
      <c r="D10" s="18"/>
      <c r="E10" s="18"/>
      <c r="F10" s="18"/>
      <c r="G10" s="18"/>
      <c r="H10" s="18"/>
      <c r="J10" s="18" t="s">
        <v>51</v>
      </c>
      <c r="K10" s="18"/>
      <c r="L10" s="18"/>
      <c r="M10" s="18"/>
      <c r="N10" s="18"/>
      <c r="O10" s="18"/>
      <c r="P10" s="18"/>
      <c r="R10" s="18" t="s">
        <v>53</v>
      </c>
      <c r="S10" s="18"/>
      <c r="T10" s="18"/>
      <c r="U10" s="18"/>
      <c r="V10" s="18"/>
      <c r="W10" s="18"/>
      <c r="X10" s="18"/>
    </row>
    <row r="11" spans="2:24" x14ac:dyDescent="0.2">
      <c r="B11" s="6" t="s">
        <v>34</v>
      </c>
      <c r="C11" s="6" t="s">
        <v>22</v>
      </c>
      <c r="D11" s="8" t="s">
        <v>23</v>
      </c>
      <c r="E11" s="8" t="s">
        <v>24</v>
      </c>
      <c r="F11" s="8" t="s">
        <v>25</v>
      </c>
      <c r="G11" s="8" t="s">
        <v>26</v>
      </c>
      <c r="H11" s="6" t="s">
        <v>27</v>
      </c>
      <c r="J11" s="6" t="s">
        <v>34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R11" s="6" t="s">
        <v>34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</row>
    <row r="12" spans="2:24" x14ac:dyDescent="0.2">
      <c r="B12" s="2">
        <v>0</v>
      </c>
      <c r="C12" s="2" t="s">
        <v>32</v>
      </c>
      <c r="D12" s="24">
        <v>1.69891537844195</v>
      </c>
      <c r="E12" s="22">
        <v>0.32938646333782701</v>
      </c>
      <c r="F12" s="22">
        <v>5.1578178448077301</v>
      </c>
      <c r="G12" s="28">
        <v>2.4984449953358002E-7</v>
      </c>
      <c r="H12" s="2" t="s">
        <v>29</v>
      </c>
      <c r="J12" s="2">
        <v>0</v>
      </c>
      <c r="K12" s="2" t="s">
        <v>32</v>
      </c>
      <c r="L12" s="23">
        <v>4.6059869252127701</v>
      </c>
      <c r="M12" s="32">
        <v>0.49673572606415101</v>
      </c>
      <c r="N12" s="32">
        <v>9.2725098750354995</v>
      </c>
      <c r="O12" s="30">
        <v>0</v>
      </c>
      <c r="P12" s="5" t="s">
        <v>29</v>
      </c>
      <c r="R12" s="2">
        <v>0</v>
      </c>
      <c r="S12" s="2" t="s">
        <v>32</v>
      </c>
      <c r="T12" s="23">
        <v>4.6107669830465303</v>
      </c>
      <c r="U12" s="32">
        <v>0.50895354767774803</v>
      </c>
      <c r="V12" s="32">
        <v>9.0593080725824997</v>
      </c>
      <c r="W12" s="30">
        <v>0</v>
      </c>
      <c r="X12" s="5" t="s">
        <v>29</v>
      </c>
    </row>
    <row r="13" spans="2:24" x14ac:dyDescent="0.2">
      <c r="B13" s="2">
        <v>1</v>
      </c>
      <c r="C13" s="2" t="s">
        <v>55</v>
      </c>
      <c r="D13" s="21">
        <v>0</v>
      </c>
      <c r="E13" s="22">
        <v>0.117019060844664</v>
      </c>
      <c r="F13" s="22">
        <v>0</v>
      </c>
      <c r="G13" s="28">
        <v>1</v>
      </c>
      <c r="H13" s="11" t="s">
        <v>30</v>
      </c>
      <c r="J13" s="2">
        <v>1</v>
      </c>
      <c r="K13" s="2" t="s">
        <v>72</v>
      </c>
      <c r="L13" s="23">
        <v>-0.34592080712651202</v>
      </c>
      <c r="M13" s="32">
        <v>0.183049304771921</v>
      </c>
      <c r="N13" s="32">
        <v>-1.88976848372916</v>
      </c>
      <c r="O13" s="30">
        <v>5.87889303468744E-2</v>
      </c>
      <c r="P13" s="5" t="s">
        <v>29</v>
      </c>
      <c r="R13" s="2">
        <v>1</v>
      </c>
      <c r="S13" s="2" t="s">
        <v>72</v>
      </c>
      <c r="T13" s="23">
        <v>-0.34569833058197003</v>
      </c>
      <c r="U13" s="32">
        <v>0.18431027946016301</v>
      </c>
      <c r="V13" s="32">
        <v>-1.87563239334509</v>
      </c>
      <c r="W13" s="30">
        <v>6.0705775129364203E-2</v>
      </c>
      <c r="X13" s="5" t="s">
        <v>29</v>
      </c>
    </row>
    <row r="14" spans="2:24" x14ac:dyDescent="0.2">
      <c r="B14" s="2">
        <v>2</v>
      </c>
      <c r="C14" s="2" t="s">
        <v>56</v>
      </c>
      <c r="D14" s="21">
        <v>0</v>
      </c>
      <c r="E14" s="22">
        <v>8.73684360821992E-2</v>
      </c>
      <c r="F14" s="22">
        <v>0</v>
      </c>
      <c r="G14" s="28">
        <v>1</v>
      </c>
      <c r="H14" s="11" t="s">
        <v>30</v>
      </c>
      <c r="J14" s="2">
        <v>2</v>
      </c>
      <c r="K14" s="2" t="s">
        <v>74</v>
      </c>
      <c r="L14" s="23">
        <v>-0.85598199102602202</v>
      </c>
      <c r="M14" s="32">
        <v>0.15994031062567701</v>
      </c>
      <c r="N14" s="32">
        <v>-5.3518840102127196</v>
      </c>
      <c r="O14" s="30">
        <v>8.7043187990687403E-8</v>
      </c>
      <c r="P14" s="5" t="s">
        <v>29</v>
      </c>
      <c r="R14" s="2">
        <v>2</v>
      </c>
      <c r="S14" s="2" t="s">
        <v>74</v>
      </c>
      <c r="T14" s="23">
        <v>-0.85857077556598504</v>
      </c>
      <c r="U14" s="32">
        <v>0.16086018510137501</v>
      </c>
      <c r="V14" s="32">
        <v>-5.3373727938016797</v>
      </c>
      <c r="W14" s="30">
        <v>9.4303019171348899E-8</v>
      </c>
      <c r="X14" s="5" t="s">
        <v>29</v>
      </c>
    </row>
    <row r="15" spans="2:24" x14ac:dyDescent="0.2">
      <c r="B15" s="2">
        <v>3</v>
      </c>
      <c r="C15" s="2" t="s">
        <v>57</v>
      </c>
      <c r="D15" s="23">
        <v>-1.6624905875532101E-2</v>
      </c>
      <c r="E15" s="22">
        <v>5.8161238546657799E-2</v>
      </c>
      <c r="F15" s="22">
        <v>-0.28584167550344303</v>
      </c>
      <c r="G15" s="28">
        <v>0.77499938676679103</v>
      </c>
      <c r="H15" s="2" t="s">
        <v>29</v>
      </c>
      <c r="J15" s="2">
        <v>3</v>
      </c>
      <c r="K15" s="2" t="s">
        <v>76</v>
      </c>
      <c r="L15" s="21">
        <v>0</v>
      </c>
      <c r="M15" s="32">
        <v>1.4736308728304399</v>
      </c>
      <c r="N15" s="32">
        <v>0</v>
      </c>
      <c r="O15" s="30">
        <v>1</v>
      </c>
      <c r="P15" s="11" t="s">
        <v>30</v>
      </c>
      <c r="R15" s="2">
        <v>3</v>
      </c>
      <c r="S15" s="2" t="s">
        <v>76</v>
      </c>
      <c r="T15" s="21">
        <v>0</v>
      </c>
      <c r="U15" s="32">
        <v>1.47252063662907</v>
      </c>
      <c r="V15" s="32">
        <v>0</v>
      </c>
      <c r="W15" s="30">
        <v>1</v>
      </c>
      <c r="X15" s="11" t="s">
        <v>30</v>
      </c>
    </row>
    <row r="16" spans="2:24" x14ac:dyDescent="0.2">
      <c r="B16" s="2">
        <v>4</v>
      </c>
      <c r="C16" s="2" t="s">
        <v>58</v>
      </c>
      <c r="D16" s="24">
        <v>-0.26129291875717597</v>
      </c>
      <c r="E16" s="22">
        <v>9.2478558278937903E-2</v>
      </c>
      <c r="F16" s="22">
        <v>-2.8254432553874</v>
      </c>
      <c r="G16" s="28">
        <v>4.7215250097574204E-3</v>
      </c>
      <c r="H16" s="2" t="s">
        <v>29</v>
      </c>
      <c r="J16" s="2">
        <v>4</v>
      </c>
      <c r="K16" s="2" t="s">
        <v>78</v>
      </c>
      <c r="L16" s="23">
        <v>-2.5418360761041998</v>
      </c>
      <c r="M16" s="32">
        <v>0.56670356423038504</v>
      </c>
      <c r="N16" s="32">
        <v>-4.48530102251281</v>
      </c>
      <c r="O16" s="30">
        <v>7.2811066624822704E-6</v>
      </c>
      <c r="P16" s="5" t="s">
        <v>29</v>
      </c>
      <c r="R16" s="2">
        <v>4</v>
      </c>
      <c r="S16" s="2" t="s">
        <v>78</v>
      </c>
      <c r="T16" s="23">
        <v>-2.5389181409588999</v>
      </c>
      <c r="U16" s="32">
        <v>0.56623898009945595</v>
      </c>
      <c r="V16" s="32">
        <v>-4.4838279069253604</v>
      </c>
      <c r="W16" s="30">
        <v>7.3315798028161701E-6</v>
      </c>
      <c r="X16" s="5" t="s">
        <v>29</v>
      </c>
    </row>
    <row r="17" spans="2:24" x14ac:dyDescent="0.2">
      <c r="B17" s="2">
        <v>5</v>
      </c>
      <c r="C17" s="2" t="s">
        <v>33</v>
      </c>
      <c r="D17" s="24">
        <v>2.8526458699268198</v>
      </c>
      <c r="E17" s="22">
        <v>0.63076850089862602</v>
      </c>
      <c r="F17" s="22">
        <v>4.52249258779218</v>
      </c>
      <c r="G17" s="28">
        <v>6.1115627498775604E-6</v>
      </c>
      <c r="H17" s="2" t="s">
        <v>29</v>
      </c>
      <c r="J17" s="2">
        <v>5</v>
      </c>
      <c r="K17" s="2" t="s">
        <v>33</v>
      </c>
      <c r="L17" s="23">
        <v>2.62379472621544</v>
      </c>
      <c r="M17" s="32">
        <v>0.68571246028585997</v>
      </c>
      <c r="N17" s="32">
        <v>3.8263774951991198</v>
      </c>
      <c r="O17" s="30">
        <v>1.30042819526776E-4</v>
      </c>
      <c r="P17" s="5" t="s">
        <v>29</v>
      </c>
      <c r="R17" s="2">
        <v>5</v>
      </c>
      <c r="S17" s="2" t="s">
        <v>33</v>
      </c>
      <c r="T17" s="23">
        <v>2.62758536006154</v>
      </c>
      <c r="U17" s="32">
        <v>0.679787777104504</v>
      </c>
      <c r="V17" s="32">
        <v>3.8653024496167099</v>
      </c>
      <c r="W17" s="30">
        <v>1.10951622918298E-4</v>
      </c>
      <c r="X17" s="5" t="s">
        <v>29</v>
      </c>
    </row>
    <row r="18" spans="2:24" x14ac:dyDescent="0.2">
      <c r="B18" s="2">
        <v>6</v>
      </c>
      <c r="C18" s="2" t="s">
        <v>59</v>
      </c>
      <c r="D18" s="24">
        <v>-0.640346059338611</v>
      </c>
      <c r="E18" s="22">
        <v>0.35477803176512901</v>
      </c>
      <c r="F18" s="22">
        <v>-1.8049202656452299</v>
      </c>
      <c r="G18" s="28">
        <v>7.1087160052521803E-2</v>
      </c>
      <c r="H18" s="2" t="s">
        <v>29</v>
      </c>
      <c r="J18" s="2">
        <v>6</v>
      </c>
      <c r="K18" s="2" t="s">
        <v>79</v>
      </c>
      <c r="L18" s="23">
        <v>-0.60375071867323304</v>
      </c>
      <c r="M18" s="32">
        <v>0.36155497491851402</v>
      </c>
      <c r="N18" s="32">
        <v>-1.6698725243907999</v>
      </c>
      <c r="O18" s="30">
        <v>9.4944587459906596E-2</v>
      </c>
      <c r="P18" s="5" t="s">
        <v>29</v>
      </c>
      <c r="R18" s="2">
        <v>6</v>
      </c>
      <c r="S18" s="2" t="s">
        <v>79</v>
      </c>
      <c r="T18" s="23">
        <v>-0.60375338616024199</v>
      </c>
      <c r="U18" s="32">
        <v>0.35525626496953699</v>
      </c>
      <c r="V18" s="32">
        <v>-1.6994869498276399</v>
      </c>
      <c r="W18" s="30">
        <v>8.9227471400396594E-2</v>
      </c>
      <c r="X18" s="5" t="s">
        <v>29</v>
      </c>
    </row>
    <row r="19" spans="2:24" x14ac:dyDescent="0.2">
      <c r="B19" s="2">
        <v>7</v>
      </c>
      <c r="C19" s="2" t="s">
        <v>60</v>
      </c>
      <c r="D19" s="24">
        <v>-0.53426897541392804</v>
      </c>
      <c r="E19" s="22">
        <v>0.252062952866898</v>
      </c>
      <c r="F19" s="22">
        <v>-2.1195854818698701</v>
      </c>
      <c r="G19" s="28">
        <v>3.4041017890219703E-2</v>
      </c>
      <c r="H19" s="2" t="s">
        <v>29</v>
      </c>
      <c r="J19" s="2">
        <v>7</v>
      </c>
      <c r="K19" s="2" t="s">
        <v>80</v>
      </c>
      <c r="L19" s="23">
        <v>-0.470106404106021</v>
      </c>
      <c r="M19" s="32">
        <v>0.28915965089887402</v>
      </c>
      <c r="N19" s="32">
        <v>-1.62576764304653</v>
      </c>
      <c r="O19" s="30">
        <v>0.10399909410083701</v>
      </c>
      <c r="P19" s="5" t="s">
        <v>29</v>
      </c>
      <c r="R19" s="2">
        <v>7</v>
      </c>
      <c r="S19" s="2" t="s">
        <v>80</v>
      </c>
      <c r="T19" s="23">
        <v>-0.46608577668950801</v>
      </c>
      <c r="U19" s="32">
        <v>0.28774917833200803</v>
      </c>
      <c r="V19" s="32">
        <v>-1.61976405768128</v>
      </c>
      <c r="W19" s="30">
        <v>0.10528296987232801</v>
      </c>
      <c r="X19" s="5" t="s">
        <v>29</v>
      </c>
    </row>
    <row r="20" spans="2:24" x14ac:dyDescent="0.2">
      <c r="B20" s="2">
        <v>8</v>
      </c>
      <c r="C20" s="2" t="s">
        <v>61</v>
      </c>
      <c r="D20" s="24">
        <v>-2.7223600389957801</v>
      </c>
      <c r="E20" s="22">
        <v>0.68070341120046696</v>
      </c>
      <c r="F20" s="22">
        <v>-3.9993336219583702</v>
      </c>
      <c r="G20" s="28">
        <v>6.3521084626261203E-5</v>
      </c>
      <c r="H20" s="2" t="s">
        <v>29</v>
      </c>
      <c r="J20" s="2">
        <v>8</v>
      </c>
      <c r="K20" s="2" t="s">
        <v>81</v>
      </c>
      <c r="L20" s="23">
        <v>-2.9220799935591901</v>
      </c>
      <c r="M20" s="32">
        <v>0.83667418239840396</v>
      </c>
      <c r="N20" s="32">
        <v>-3.4924945158254799</v>
      </c>
      <c r="O20" s="30">
        <v>4.7853142228571001E-4</v>
      </c>
      <c r="P20" s="5" t="s">
        <v>29</v>
      </c>
      <c r="R20" s="2">
        <v>8</v>
      </c>
      <c r="S20" s="2" t="s">
        <v>81</v>
      </c>
      <c r="T20" s="23">
        <v>-2.9330264456138999</v>
      </c>
      <c r="U20" s="32">
        <v>0.83928492524265297</v>
      </c>
      <c r="V20" s="32">
        <v>-3.4946730930093901</v>
      </c>
      <c r="W20" s="30">
        <v>4.7464272490183002E-4</v>
      </c>
      <c r="X20" s="5" t="s">
        <v>29</v>
      </c>
    </row>
    <row r="21" spans="2:24" x14ac:dyDescent="0.2">
      <c r="B21" s="2">
        <v>9</v>
      </c>
      <c r="C21" s="2" t="s">
        <v>62</v>
      </c>
      <c r="D21" s="24">
        <v>-2.2259747753794601</v>
      </c>
      <c r="E21" s="22">
        <v>0.62550442535447903</v>
      </c>
      <c r="F21" s="22">
        <v>-3.55868749308685</v>
      </c>
      <c r="G21" s="28">
        <v>3.7271268081639998E-4</v>
      </c>
      <c r="H21" s="2" t="s">
        <v>29</v>
      </c>
      <c r="J21" s="2">
        <v>9</v>
      </c>
      <c r="K21" s="2" t="s">
        <v>82</v>
      </c>
      <c r="L21" s="23">
        <v>-2.1576542011410398</v>
      </c>
      <c r="M21" s="32">
        <v>0.54410926464466103</v>
      </c>
      <c r="N21" s="32">
        <v>-3.9654796220941599</v>
      </c>
      <c r="O21" s="30">
        <v>7.32485103553948E-5</v>
      </c>
      <c r="P21" s="5" t="s">
        <v>29</v>
      </c>
      <c r="R21" s="2">
        <v>9</v>
      </c>
      <c r="S21" s="2" t="s">
        <v>82</v>
      </c>
      <c r="T21" s="23">
        <v>-2.1567170141629299</v>
      </c>
      <c r="U21" s="32">
        <v>0.54352757933233797</v>
      </c>
      <c r="V21" s="32">
        <v>-3.96799922611509</v>
      </c>
      <c r="W21" s="30">
        <v>7.2478569247858005E-5</v>
      </c>
      <c r="X21" s="5" t="s">
        <v>29</v>
      </c>
    </row>
    <row r="22" spans="2:24" x14ac:dyDescent="0.2">
      <c r="B22" s="2">
        <v>10</v>
      </c>
      <c r="C22" s="2" t="s">
        <v>28</v>
      </c>
      <c r="D22" s="24">
        <v>0.57204414785584901</v>
      </c>
      <c r="E22" s="22">
        <v>0.35521343860976301</v>
      </c>
      <c r="F22" s="22">
        <v>1.61042372184656</v>
      </c>
      <c r="G22" s="28">
        <v>0.107305385326146</v>
      </c>
      <c r="H22" s="2" t="s">
        <v>29</v>
      </c>
      <c r="J22" s="2">
        <v>10</v>
      </c>
      <c r="K22" s="2" t="s">
        <v>28</v>
      </c>
      <c r="L22" s="23">
        <v>0.29316108528781099</v>
      </c>
      <c r="M22" s="32">
        <v>0.425285160142931</v>
      </c>
      <c r="N22" s="32">
        <v>0.68932827373822403</v>
      </c>
      <c r="O22" s="30">
        <v>0.49061670922997103</v>
      </c>
      <c r="P22" s="5" t="s">
        <v>29</v>
      </c>
      <c r="R22" s="2">
        <v>10</v>
      </c>
      <c r="S22" s="2" t="s">
        <v>28</v>
      </c>
      <c r="T22" s="23">
        <v>0.35020490656686798</v>
      </c>
      <c r="U22" s="32">
        <v>0.44744955107323597</v>
      </c>
      <c r="V22" s="32">
        <v>0.78266903101563001</v>
      </c>
      <c r="W22" s="30">
        <v>0.43382149270233</v>
      </c>
      <c r="X22" s="5" t="s">
        <v>29</v>
      </c>
    </row>
    <row r="23" spans="2:24" x14ac:dyDescent="0.2">
      <c r="B23" s="6">
        <v>11</v>
      </c>
      <c r="C23" s="6" t="s">
        <v>31</v>
      </c>
      <c r="D23" s="25">
        <v>0.91470885706380201</v>
      </c>
      <c r="E23" s="26">
        <v>0.31922907488765101</v>
      </c>
      <c r="F23" s="26">
        <v>2.8653682543976302</v>
      </c>
      <c r="G23" s="29">
        <v>4.16524550600594E-3</v>
      </c>
      <c r="H23" s="6" t="s">
        <v>29</v>
      </c>
      <c r="J23" s="2">
        <v>11</v>
      </c>
      <c r="K23" s="2" t="s">
        <v>63</v>
      </c>
      <c r="L23" s="21">
        <v>0</v>
      </c>
      <c r="M23" s="32">
        <v>0.208485541817162</v>
      </c>
      <c r="N23" s="32">
        <v>0</v>
      </c>
      <c r="O23" s="30">
        <v>1</v>
      </c>
      <c r="P23" s="11" t="s">
        <v>30</v>
      </c>
      <c r="R23" s="2">
        <v>11</v>
      </c>
      <c r="S23" s="2" t="s">
        <v>64</v>
      </c>
      <c r="T23" s="21">
        <v>0</v>
      </c>
      <c r="U23" s="32">
        <v>0.26812407113013598</v>
      </c>
      <c r="V23" s="32">
        <v>0</v>
      </c>
      <c r="W23" s="30">
        <v>1</v>
      </c>
      <c r="X23" s="11" t="s">
        <v>30</v>
      </c>
    </row>
    <row r="24" spans="2:24" x14ac:dyDescent="0.2">
      <c r="B24" s="16" t="s">
        <v>35</v>
      </c>
      <c r="C24" s="16"/>
      <c r="D24" s="16"/>
      <c r="E24" s="16"/>
      <c r="F24" s="16"/>
      <c r="G24" s="16"/>
      <c r="H24" s="16"/>
      <c r="J24" s="2">
        <v>12</v>
      </c>
      <c r="K24" s="2" t="s">
        <v>65</v>
      </c>
      <c r="L24" s="21">
        <v>0</v>
      </c>
      <c r="M24" s="32">
        <v>0.214880209132914</v>
      </c>
      <c r="N24" s="32">
        <v>0</v>
      </c>
      <c r="O24" s="30">
        <v>1</v>
      </c>
      <c r="P24" s="11" t="s">
        <v>30</v>
      </c>
      <c r="R24" s="2">
        <v>12</v>
      </c>
      <c r="S24" s="2" t="s">
        <v>66</v>
      </c>
      <c r="T24" s="21">
        <v>0</v>
      </c>
      <c r="U24" s="32">
        <v>0.23053155518447899</v>
      </c>
      <c r="V24" s="32">
        <v>0</v>
      </c>
      <c r="W24" s="30">
        <v>1</v>
      </c>
      <c r="X24" s="11" t="s">
        <v>30</v>
      </c>
    </row>
    <row r="25" spans="2:24" x14ac:dyDescent="0.2">
      <c r="B25" t="s">
        <v>39</v>
      </c>
      <c r="C25">
        <v>12</v>
      </c>
      <c r="J25" s="2">
        <v>13</v>
      </c>
      <c r="K25" s="2" t="s">
        <v>67</v>
      </c>
      <c r="L25" s="21">
        <v>0</v>
      </c>
      <c r="M25" s="32">
        <v>7.6117304091147905E-2</v>
      </c>
      <c r="N25" s="32">
        <v>0</v>
      </c>
      <c r="O25" s="30">
        <v>1</v>
      </c>
      <c r="P25" s="11" t="s">
        <v>30</v>
      </c>
      <c r="R25" s="2">
        <v>13</v>
      </c>
      <c r="S25" s="2" t="s">
        <v>68</v>
      </c>
      <c r="T25" s="23">
        <v>-2.86794449014082E-2</v>
      </c>
      <c r="U25" s="32">
        <v>0.17010081367055199</v>
      </c>
      <c r="V25" s="32">
        <v>-0.16860263206591</v>
      </c>
      <c r="W25" s="30">
        <v>0.86610921011518305</v>
      </c>
      <c r="X25" s="5" t="s">
        <v>29</v>
      </c>
    </row>
    <row r="26" spans="2:24" x14ac:dyDescent="0.2">
      <c r="B26" t="s">
        <v>40</v>
      </c>
      <c r="C26">
        <v>232</v>
      </c>
      <c r="J26" s="2">
        <v>14</v>
      </c>
      <c r="K26" s="2" t="s">
        <v>69</v>
      </c>
      <c r="L26" s="21">
        <v>0</v>
      </c>
      <c r="M26" s="32">
        <v>8.2748562590922101E-2</v>
      </c>
      <c r="N26" s="32">
        <v>0</v>
      </c>
      <c r="O26" s="30">
        <v>1</v>
      </c>
      <c r="P26" s="11" t="s">
        <v>30</v>
      </c>
      <c r="R26" s="2">
        <v>14</v>
      </c>
      <c r="S26" s="2" t="s">
        <v>70</v>
      </c>
      <c r="T26" s="21">
        <v>0</v>
      </c>
      <c r="U26" s="32">
        <v>0.13266534527680601</v>
      </c>
      <c r="V26" s="32">
        <v>0</v>
      </c>
      <c r="W26" s="30">
        <v>1</v>
      </c>
      <c r="X26" s="11" t="s">
        <v>30</v>
      </c>
    </row>
    <row r="27" spans="2:24" x14ac:dyDescent="0.2">
      <c r="B27" t="s">
        <v>41</v>
      </c>
      <c r="C27" s="27">
        <v>-998.87990000000002</v>
      </c>
      <c r="J27" s="6">
        <v>15</v>
      </c>
      <c r="K27" s="6" t="s">
        <v>31</v>
      </c>
      <c r="L27" s="33">
        <v>0.39478406046500197</v>
      </c>
      <c r="M27" s="34">
        <v>0.40168724217745699</v>
      </c>
      <c r="N27" s="34">
        <v>0.98281453581887501</v>
      </c>
      <c r="O27" s="31">
        <v>0.325698726448576</v>
      </c>
      <c r="P27" s="12" t="s">
        <v>29</v>
      </c>
      <c r="R27" s="2">
        <v>15</v>
      </c>
      <c r="S27" s="2" t="s">
        <v>31</v>
      </c>
      <c r="T27" s="23">
        <v>0.40133824304580501</v>
      </c>
      <c r="U27" s="32">
        <v>0.49979390453143901</v>
      </c>
      <c r="V27" s="32">
        <v>0.80300747849668597</v>
      </c>
      <c r="W27" s="30">
        <v>0.421970412068635</v>
      </c>
      <c r="X27" s="5" t="s">
        <v>29</v>
      </c>
    </row>
    <row r="28" spans="2:24" x14ac:dyDescent="0.2">
      <c r="B28" t="s">
        <v>42</v>
      </c>
      <c r="C28" s="27">
        <v>-867.30259999999998</v>
      </c>
      <c r="J28" s="16" t="s">
        <v>35</v>
      </c>
      <c r="K28" s="16"/>
      <c r="L28" s="16"/>
      <c r="M28" s="16"/>
      <c r="N28" s="16"/>
      <c r="O28" s="16"/>
      <c r="P28" s="16"/>
      <c r="R28" s="2">
        <v>16</v>
      </c>
      <c r="S28" s="2" t="s">
        <v>71</v>
      </c>
      <c r="T28" s="21">
        <v>0</v>
      </c>
      <c r="U28" s="32">
        <v>0.30789303059012901</v>
      </c>
      <c r="V28" s="32">
        <v>0</v>
      </c>
      <c r="W28" s="30">
        <v>1</v>
      </c>
      <c r="X28" s="11" t="s">
        <v>30</v>
      </c>
    </row>
    <row r="29" spans="2:24" x14ac:dyDescent="0.2">
      <c r="B29" t="s">
        <v>92</v>
      </c>
      <c r="C29" s="27">
        <f>-2*(C27-C28)</f>
        <v>263.15460000000007</v>
      </c>
      <c r="J29" t="s">
        <v>39</v>
      </c>
      <c r="K29">
        <v>16</v>
      </c>
      <c r="L29" s="7"/>
      <c r="M29" s="7"/>
      <c r="N29" s="7"/>
      <c r="O29" s="7"/>
      <c r="R29" s="2">
        <v>17</v>
      </c>
      <c r="S29" s="2" t="s">
        <v>73</v>
      </c>
      <c r="T29" s="21">
        <v>0</v>
      </c>
      <c r="U29" s="32">
        <v>0.29709042611439002</v>
      </c>
      <c r="V29" s="32">
        <v>0</v>
      </c>
      <c r="W29" s="30">
        <v>1</v>
      </c>
      <c r="X29" s="11" t="s">
        <v>30</v>
      </c>
    </row>
    <row r="30" spans="2:24" x14ac:dyDescent="0.2">
      <c r="B30" t="s">
        <v>43</v>
      </c>
      <c r="C30" s="27">
        <v>1758.605</v>
      </c>
      <c r="J30" t="s">
        <v>40</v>
      </c>
      <c r="K30">
        <v>232</v>
      </c>
      <c r="L30" s="7"/>
      <c r="M30" s="7"/>
      <c r="N30" s="7"/>
      <c r="O30" s="7"/>
      <c r="R30" s="2">
        <v>18</v>
      </c>
      <c r="S30" s="2" t="s">
        <v>75</v>
      </c>
      <c r="T30" s="21">
        <v>0</v>
      </c>
      <c r="U30" s="32">
        <v>0.101278148844911</v>
      </c>
      <c r="V30" s="32">
        <v>0</v>
      </c>
      <c r="W30" s="30">
        <v>1</v>
      </c>
      <c r="X30" s="11" t="s">
        <v>30</v>
      </c>
    </row>
    <row r="31" spans="2:24" x14ac:dyDescent="0.2">
      <c r="B31" t="s">
        <v>44</v>
      </c>
      <c r="C31" s="27">
        <v>1799.9659999999999</v>
      </c>
      <c r="J31" t="s">
        <v>41</v>
      </c>
      <c r="K31" s="27">
        <f>C27</f>
        <v>-998.87990000000002</v>
      </c>
      <c r="L31" s="7"/>
      <c r="M31" s="7"/>
      <c r="N31" s="7"/>
      <c r="O31" s="7"/>
      <c r="R31" s="2">
        <v>19</v>
      </c>
      <c r="S31" s="2" t="s">
        <v>77</v>
      </c>
      <c r="T31" s="21">
        <v>0</v>
      </c>
      <c r="U31" s="32">
        <v>9.6352628004484395E-2</v>
      </c>
      <c r="V31" s="32">
        <v>0</v>
      </c>
      <c r="W31" s="30">
        <v>1</v>
      </c>
      <c r="X31" s="11" t="s">
        <v>30</v>
      </c>
    </row>
    <row r="32" spans="2:24" x14ac:dyDescent="0.2">
      <c r="J32" t="s">
        <v>42</v>
      </c>
      <c r="K32" s="27">
        <v>-651.62570000000005</v>
      </c>
      <c r="L32" s="7"/>
      <c r="M32" s="7"/>
      <c r="N32" s="7"/>
      <c r="O32" s="7"/>
      <c r="R32" s="16" t="s">
        <v>35</v>
      </c>
      <c r="S32" s="16"/>
      <c r="T32" s="16"/>
      <c r="U32" s="16"/>
      <c r="V32" s="16"/>
      <c r="W32" s="16"/>
      <c r="X32" s="16"/>
    </row>
    <row r="33" spans="2:19" x14ac:dyDescent="0.2">
      <c r="B33" s="17" t="s">
        <v>95</v>
      </c>
      <c r="C33" s="17"/>
      <c r="D33" s="17"/>
      <c r="E33" s="17"/>
      <c r="F33" s="17"/>
      <c r="G33" s="17"/>
      <c r="H33" s="17"/>
      <c r="J33" t="s">
        <v>92</v>
      </c>
      <c r="K33" s="27">
        <f>-2*(K31-K32)</f>
        <v>694.50839999999994</v>
      </c>
      <c r="L33" s="7"/>
      <c r="M33" s="7"/>
      <c r="N33" s="7"/>
      <c r="O33" s="7"/>
      <c r="R33" t="s">
        <v>39</v>
      </c>
      <c r="S33">
        <v>20</v>
      </c>
    </row>
    <row r="34" spans="2:19" x14ac:dyDescent="0.2">
      <c r="B34" s="1" t="s">
        <v>93</v>
      </c>
      <c r="C34" s="1"/>
      <c r="D34" s="1"/>
      <c r="E34" s="1"/>
      <c r="F34" s="1"/>
      <c r="G34" s="1"/>
      <c r="H34" s="1"/>
      <c r="J34" t="s">
        <v>43</v>
      </c>
      <c r="K34" s="27">
        <v>1335.251</v>
      </c>
      <c r="R34" t="s">
        <v>40</v>
      </c>
      <c r="S34">
        <v>232</v>
      </c>
    </row>
    <row r="35" spans="2:19" x14ac:dyDescent="0.2">
      <c r="J35" t="s">
        <v>44</v>
      </c>
      <c r="K35" s="27">
        <v>1390.3989999999999</v>
      </c>
      <c r="R35" t="s">
        <v>41</v>
      </c>
      <c r="S35" s="27">
        <f>K31</f>
        <v>-998.87990000000002</v>
      </c>
    </row>
    <row r="36" spans="2:19" x14ac:dyDescent="0.2">
      <c r="B36" t="s">
        <v>36</v>
      </c>
      <c r="C36">
        <f>K29-C25</f>
        <v>4</v>
      </c>
      <c r="R36" t="s">
        <v>42</v>
      </c>
      <c r="S36" s="27">
        <v>-651.5412</v>
      </c>
    </row>
    <row r="37" spans="2:19" x14ac:dyDescent="0.2">
      <c r="B37" t="s">
        <v>37</v>
      </c>
      <c r="C37" s="27">
        <f>-2*(C28-K32)</f>
        <v>431.35379999999986</v>
      </c>
      <c r="J37" s="17" t="s">
        <v>96</v>
      </c>
      <c r="K37" s="17"/>
      <c r="L37" s="17"/>
      <c r="M37" s="17"/>
      <c r="N37" s="17"/>
      <c r="O37" s="17"/>
      <c r="P37" s="17"/>
      <c r="R37" t="s">
        <v>92</v>
      </c>
      <c r="S37" s="27">
        <f>-2*(S35-S36)</f>
        <v>694.67740000000003</v>
      </c>
    </row>
    <row r="38" spans="2:19" ht="20" x14ac:dyDescent="0.25">
      <c r="B38" t="s">
        <v>38</v>
      </c>
      <c r="C38" s="27">
        <f>_xlfn.CHISQ.INV(0.95,C36)</f>
        <v>9.4877290367811575</v>
      </c>
      <c r="D38" s="10" t="s">
        <v>7</v>
      </c>
      <c r="E38" s="19" t="str">
        <f>IF(C37&lt;C38,"H0 cannot be rejected","H0 rejected")</f>
        <v>H0 rejected</v>
      </c>
      <c r="F38" s="19"/>
      <c r="G38" s="19"/>
      <c r="H38" s="19"/>
      <c r="J38" s="20" t="s">
        <v>94</v>
      </c>
      <c r="K38" s="20"/>
      <c r="L38" s="20"/>
      <c r="M38" s="20"/>
      <c r="N38" s="20"/>
      <c r="O38" s="20"/>
      <c r="P38" s="20"/>
      <c r="R38" t="s">
        <v>43</v>
      </c>
      <c r="S38" s="27">
        <v>1343.0820000000001</v>
      </c>
    </row>
    <row r="39" spans="2:19" x14ac:dyDescent="0.2">
      <c r="R39" t="s">
        <v>44</v>
      </c>
      <c r="S39" s="27">
        <v>1412.0170000000001</v>
      </c>
    </row>
    <row r="40" spans="2:19" x14ac:dyDescent="0.2">
      <c r="J40" t="s">
        <v>36</v>
      </c>
      <c r="K40">
        <f>COUNTA(S12:S31)-COUNTA(K12:K27)</f>
        <v>4</v>
      </c>
    </row>
    <row r="41" spans="2:19" x14ac:dyDescent="0.2">
      <c r="J41" t="s">
        <v>37</v>
      </c>
      <c r="K41" s="27">
        <f>-2*(K32-S36)</f>
        <v>0.16900000000009641</v>
      </c>
    </row>
    <row r="42" spans="2:19" ht="20" x14ac:dyDescent="0.25">
      <c r="J42" t="s">
        <v>38</v>
      </c>
      <c r="K42" s="27">
        <f>_xlfn.CHISQ.INV(0.95,K40)</f>
        <v>9.4877290367811575</v>
      </c>
      <c r="L42" s="10" t="s">
        <v>7</v>
      </c>
      <c r="M42" s="19" t="str">
        <f>IF(K41&lt;K42,"H0 cannot be rejected","H0 rejected")</f>
        <v>H0 cannot be rejected</v>
      </c>
      <c r="N42" s="19"/>
      <c r="O42" s="19"/>
      <c r="P42" s="19"/>
    </row>
  </sheetData>
  <mergeCells count="11">
    <mergeCell ref="B10:H10"/>
    <mergeCell ref="B24:H24"/>
    <mergeCell ref="J28:P28"/>
    <mergeCell ref="B33:H33"/>
    <mergeCell ref="E38:H38"/>
    <mergeCell ref="J38:P38"/>
    <mergeCell ref="R32:X32"/>
    <mergeCell ref="J37:P37"/>
    <mergeCell ref="J10:P10"/>
    <mergeCell ref="R10:X10"/>
    <mergeCell ref="M42:P42"/>
  </mergeCells>
  <conditionalFormatting sqref="E38:H38">
    <cfRule type="cellIs" dxfId="255" priority="3" operator="equal">
      <formula>"H0 cannot be rejected"</formula>
    </cfRule>
    <cfRule type="cellIs" dxfId="254" priority="4" operator="equal">
      <formula>"H0 rejected"</formula>
    </cfRule>
  </conditionalFormatting>
  <conditionalFormatting sqref="M42:P42">
    <cfRule type="cellIs" dxfId="253" priority="1" operator="equal">
      <formula>"H0 cannot be rejected"</formula>
    </cfRule>
    <cfRule type="cellIs" dxfId="252" priority="2" operator="equal">
      <formula>"H0 rejected"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7ACF-5903-F74A-A6C7-86FB239702CA}">
  <sheetPr>
    <tabColor rgb="FF92D050"/>
  </sheetPr>
  <dimension ref="B2:P40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</cols>
  <sheetData>
    <row r="2" spans="2:16" x14ac:dyDescent="0.2">
      <c r="B2" s="13" t="s">
        <v>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2:16" x14ac:dyDescent="0.2">
      <c r="B4" s="12" t="s">
        <v>45</v>
      </c>
      <c r="C4" s="12" t="s">
        <v>46</v>
      </c>
      <c r="D4" s="2"/>
      <c r="E4" s="2"/>
      <c r="F4" s="2"/>
    </row>
    <row r="5" spans="2:16" x14ac:dyDescent="0.2">
      <c r="B5" s="5" t="s">
        <v>0</v>
      </c>
      <c r="C5" s="4" t="s">
        <v>5</v>
      </c>
      <c r="D5" s="2"/>
      <c r="E5" s="2"/>
      <c r="F5" s="2"/>
    </row>
    <row r="6" spans="2:16" x14ac:dyDescent="0.2">
      <c r="B6" s="5" t="s">
        <v>2</v>
      </c>
      <c r="C6" s="4" t="s">
        <v>5</v>
      </c>
      <c r="D6" s="2"/>
      <c r="E6" s="2"/>
      <c r="F6" s="2"/>
    </row>
    <row r="7" spans="2:16" x14ac:dyDescent="0.2">
      <c r="B7" s="5" t="s">
        <v>3</v>
      </c>
      <c r="C7" s="4" t="s">
        <v>6</v>
      </c>
      <c r="D7" s="2"/>
      <c r="E7" s="2"/>
      <c r="F7" s="2"/>
    </row>
    <row r="9" spans="2:16" x14ac:dyDescent="0.2">
      <c r="B9" s="18" t="s">
        <v>52</v>
      </c>
      <c r="C9" s="18"/>
      <c r="D9" s="18"/>
      <c r="E9" s="18"/>
      <c r="F9" s="18"/>
      <c r="G9" s="18"/>
      <c r="H9" s="18"/>
      <c r="J9" s="18" t="s">
        <v>53</v>
      </c>
      <c r="K9" s="18"/>
      <c r="L9" s="18"/>
      <c r="M9" s="18"/>
      <c r="N9" s="18"/>
      <c r="O9" s="18"/>
      <c r="P9" s="18"/>
    </row>
    <row r="10" spans="2:16" x14ac:dyDescent="0.2">
      <c r="B10" s="6" t="s">
        <v>34</v>
      </c>
      <c r="C10" s="6" t="s">
        <v>22</v>
      </c>
      <c r="D10" s="8" t="s">
        <v>23</v>
      </c>
      <c r="E10" s="8" t="s">
        <v>24</v>
      </c>
      <c r="F10" s="8" t="s">
        <v>25</v>
      </c>
      <c r="G10" s="8" t="s">
        <v>26</v>
      </c>
      <c r="H10" s="6" t="s">
        <v>27</v>
      </c>
      <c r="J10" s="6" t="s">
        <v>34</v>
      </c>
      <c r="K10" s="6" t="s">
        <v>22</v>
      </c>
      <c r="L10" s="6" t="s">
        <v>23</v>
      </c>
      <c r="M10" s="6" t="s">
        <v>24</v>
      </c>
      <c r="N10" s="6" t="s">
        <v>25</v>
      </c>
      <c r="O10" s="6" t="s">
        <v>26</v>
      </c>
      <c r="P10" s="6" t="s">
        <v>27</v>
      </c>
    </row>
    <row r="11" spans="2:16" x14ac:dyDescent="0.2">
      <c r="B11" s="2">
        <v>0</v>
      </c>
      <c r="C11" s="2" t="s">
        <v>32</v>
      </c>
      <c r="D11" s="24">
        <v>2.7731835486585599</v>
      </c>
      <c r="E11" s="22">
        <v>0.83388185987642605</v>
      </c>
      <c r="F11" s="22">
        <v>3.3256312219929098</v>
      </c>
      <c r="G11" s="28">
        <v>8.8218563571107402E-4</v>
      </c>
      <c r="H11" s="2" t="s">
        <v>29</v>
      </c>
      <c r="J11" s="2">
        <v>0</v>
      </c>
      <c r="K11" s="2" t="s">
        <v>32</v>
      </c>
      <c r="L11" s="23">
        <v>4.4627240759408098</v>
      </c>
      <c r="M11" s="32">
        <v>1.06999863436427</v>
      </c>
      <c r="N11" s="32">
        <v>4.1707754875708698</v>
      </c>
      <c r="O11" s="30">
        <v>3.0356482761062499E-5</v>
      </c>
      <c r="P11" s="5" t="s">
        <v>29</v>
      </c>
    </row>
    <row r="12" spans="2:16" x14ac:dyDescent="0.2">
      <c r="B12" s="2">
        <v>1</v>
      </c>
      <c r="C12" s="2" t="s">
        <v>55</v>
      </c>
      <c r="D12" s="21">
        <v>0</v>
      </c>
      <c r="E12" s="22">
        <v>0.23494042408438701</v>
      </c>
      <c r="F12" s="22">
        <v>0</v>
      </c>
      <c r="G12" s="28">
        <v>1</v>
      </c>
      <c r="H12" s="11" t="s">
        <v>30</v>
      </c>
      <c r="J12" s="2">
        <v>1</v>
      </c>
      <c r="K12" s="2" t="s">
        <v>72</v>
      </c>
      <c r="L12" s="21">
        <v>0</v>
      </c>
      <c r="M12" s="32">
        <v>0.36297798124197</v>
      </c>
      <c r="N12" s="32">
        <v>0</v>
      </c>
      <c r="O12" s="30">
        <v>1</v>
      </c>
      <c r="P12" s="11" t="s">
        <v>30</v>
      </c>
    </row>
    <row r="13" spans="2:16" x14ac:dyDescent="0.2">
      <c r="B13" s="2">
        <v>2</v>
      </c>
      <c r="C13" s="2" t="s">
        <v>56</v>
      </c>
      <c r="D13" s="21">
        <v>0</v>
      </c>
      <c r="E13" s="22">
        <v>0.16165617476487501</v>
      </c>
      <c r="F13" s="22">
        <v>0</v>
      </c>
      <c r="G13" s="28">
        <v>1</v>
      </c>
      <c r="H13" s="11" t="s">
        <v>30</v>
      </c>
      <c r="J13" s="2">
        <v>2</v>
      </c>
      <c r="K13" s="2" t="s">
        <v>74</v>
      </c>
      <c r="L13" s="23">
        <v>-0.21021746903090799</v>
      </c>
      <c r="M13" s="32">
        <v>0.26628430024704702</v>
      </c>
      <c r="N13" s="32">
        <v>-0.78944747713581798</v>
      </c>
      <c r="O13" s="30">
        <v>0.429850516273584</v>
      </c>
      <c r="P13" s="5" t="s">
        <v>29</v>
      </c>
    </row>
    <row r="14" spans="2:16" x14ac:dyDescent="0.2">
      <c r="B14" s="2">
        <v>3</v>
      </c>
      <c r="C14" s="2" t="s">
        <v>57</v>
      </c>
      <c r="D14" s="21">
        <v>0</v>
      </c>
      <c r="E14" s="22">
        <v>0.54376635579543997</v>
      </c>
      <c r="F14" s="22">
        <v>0</v>
      </c>
      <c r="G14" s="28">
        <v>1</v>
      </c>
      <c r="H14" s="11" t="s">
        <v>30</v>
      </c>
      <c r="J14" s="2">
        <v>3</v>
      </c>
      <c r="K14" s="2" t="s">
        <v>76</v>
      </c>
      <c r="L14" s="21">
        <v>0</v>
      </c>
      <c r="M14" s="32">
        <v>2.48942499847952</v>
      </c>
      <c r="N14" s="32">
        <v>0</v>
      </c>
      <c r="O14" s="30">
        <v>1</v>
      </c>
      <c r="P14" s="11" t="s">
        <v>30</v>
      </c>
    </row>
    <row r="15" spans="2:16" x14ac:dyDescent="0.2">
      <c r="B15" s="2">
        <v>4</v>
      </c>
      <c r="C15" s="2" t="s">
        <v>58</v>
      </c>
      <c r="D15" s="24">
        <v>-1.2457174825229</v>
      </c>
      <c r="E15" s="22">
        <v>0.31190729135961798</v>
      </c>
      <c r="F15" s="22">
        <v>-3.9938709899751399</v>
      </c>
      <c r="G15" s="28">
        <v>6.5003241343619596E-5</v>
      </c>
      <c r="H15" s="2" t="s">
        <v>29</v>
      </c>
      <c r="J15" s="2">
        <v>4</v>
      </c>
      <c r="K15" s="2" t="s">
        <v>78</v>
      </c>
      <c r="L15" s="23">
        <v>-5.0594420393049697</v>
      </c>
      <c r="M15" s="32">
        <v>1.7143938219794601</v>
      </c>
      <c r="N15" s="32">
        <v>-2.9511550814288801</v>
      </c>
      <c r="O15" s="30">
        <v>3.1658791774105098E-3</v>
      </c>
      <c r="P15" s="5" t="s">
        <v>29</v>
      </c>
    </row>
    <row r="16" spans="2:16" x14ac:dyDescent="0.2">
      <c r="B16" s="2">
        <v>5</v>
      </c>
      <c r="C16" s="2" t="s">
        <v>33</v>
      </c>
      <c r="D16" s="24">
        <v>2.3925540681194</v>
      </c>
      <c r="E16" s="22">
        <v>0.56449788394693101</v>
      </c>
      <c r="F16" s="22">
        <v>4.2383756186840396</v>
      </c>
      <c r="G16" s="28">
        <v>2.25142859631155E-5</v>
      </c>
      <c r="H16" s="2" t="s">
        <v>29</v>
      </c>
      <c r="J16" s="2">
        <v>5</v>
      </c>
      <c r="K16" s="2" t="s">
        <v>33</v>
      </c>
      <c r="L16" s="23">
        <v>1.92443465134766</v>
      </c>
      <c r="M16" s="32">
        <v>0.82892749731702897</v>
      </c>
      <c r="N16" s="32">
        <v>2.3215958664375802</v>
      </c>
      <c r="O16" s="30">
        <v>2.0254706683500798E-2</v>
      </c>
      <c r="P16" s="5" t="s">
        <v>29</v>
      </c>
    </row>
    <row r="17" spans="2:16" x14ac:dyDescent="0.2">
      <c r="B17" s="2">
        <v>6</v>
      </c>
      <c r="C17" s="2" t="s">
        <v>59</v>
      </c>
      <c r="D17" s="24">
        <v>-0.90411070073191502</v>
      </c>
      <c r="E17" s="22">
        <v>0.38355525268080098</v>
      </c>
      <c r="F17" s="22">
        <v>-2.3571850324373602</v>
      </c>
      <c r="G17" s="28">
        <v>1.8414068970019799E-2</v>
      </c>
      <c r="H17" s="2" t="s">
        <v>29</v>
      </c>
      <c r="J17" s="2">
        <v>6</v>
      </c>
      <c r="K17" s="2" t="s">
        <v>79</v>
      </c>
      <c r="L17" s="23">
        <v>-0.96770689931235598</v>
      </c>
      <c r="M17" s="32">
        <v>0.44012692323317598</v>
      </c>
      <c r="N17" s="32">
        <v>-2.1986996210174299</v>
      </c>
      <c r="O17" s="30">
        <v>2.7899287928231799E-2</v>
      </c>
      <c r="P17" s="5" t="s">
        <v>29</v>
      </c>
    </row>
    <row r="18" spans="2:16" x14ac:dyDescent="0.2">
      <c r="B18" s="2">
        <v>7</v>
      </c>
      <c r="C18" s="2" t="s">
        <v>60</v>
      </c>
      <c r="D18" s="24">
        <v>-0.27260364503113199</v>
      </c>
      <c r="E18" s="22">
        <v>0.486504952787222</v>
      </c>
      <c r="F18" s="22">
        <v>-0.56033066769283002</v>
      </c>
      <c r="G18" s="28">
        <v>0.57525391293530703</v>
      </c>
      <c r="H18" s="2" t="s">
        <v>29</v>
      </c>
      <c r="J18" s="2">
        <v>7</v>
      </c>
      <c r="K18" s="2" t="s">
        <v>80</v>
      </c>
      <c r="L18" s="23">
        <v>-0.50733383602043503</v>
      </c>
      <c r="M18" s="32">
        <v>0.64471105117814997</v>
      </c>
      <c r="N18" s="32">
        <v>-0.78691661185786899</v>
      </c>
      <c r="O18" s="30">
        <v>0.431330682401393</v>
      </c>
      <c r="P18" s="5" t="s">
        <v>29</v>
      </c>
    </row>
    <row r="19" spans="2:16" x14ac:dyDescent="0.2">
      <c r="B19" s="2">
        <v>8</v>
      </c>
      <c r="C19" s="2" t="s">
        <v>61</v>
      </c>
      <c r="D19" s="24">
        <v>-2.3151997564992599</v>
      </c>
      <c r="E19" s="22">
        <v>0.98666720397268903</v>
      </c>
      <c r="F19" s="22">
        <v>-2.34648496187712</v>
      </c>
      <c r="G19" s="28">
        <v>1.8951430952739601E-2</v>
      </c>
      <c r="H19" s="2" t="s">
        <v>29</v>
      </c>
      <c r="J19" s="2">
        <v>8</v>
      </c>
      <c r="K19" s="2" t="s">
        <v>81</v>
      </c>
      <c r="L19" s="23">
        <v>-1.80638753514285</v>
      </c>
      <c r="M19" s="32">
        <v>1.1873640542788899</v>
      </c>
      <c r="N19" s="32">
        <v>-1.5213426148729901</v>
      </c>
      <c r="O19" s="30">
        <v>0.128173881402144</v>
      </c>
      <c r="P19" s="5" t="s">
        <v>29</v>
      </c>
    </row>
    <row r="20" spans="2:16" x14ac:dyDescent="0.2">
      <c r="B20" s="2">
        <v>9</v>
      </c>
      <c r="C20" s="2" t="s">
        <v>62</v>
      </c>
      <c r="D20" s="24">
        <v>-1.03691290847054</v>
      </c>
      <c r="E20" s="22">
        <v>0.34907598586287297</v>
      </c>
      <c r="F20" s="22">
        <v>-2.9704504190038201</v>
      </c>
      <c r="G20" s="28">
        <v>2.9736340184125499E-3</v>
      </c>
      <c r="H20" s="2" t="s">
        <v>29</v>
      </c>
      <c r="J20" s="2">
        <v>9</v>
      </c>
      <c r="K20" s="2" t="s">
        <v>82</v>
      </c>
      <c r="L20" s="23">
        <v>-1.0523960627986799</v>
      </c>
      <c r="M20" s="32">
        <v>0.36495716682207902</v>
      </c>
      <c r="N20" s="32">
        <v>-2.88361528001378</v>
      </c>
      <c r="O20" s="30">
        <v>3.9313872225763503E-3</v>
      </c>
      <c r="P20" s="5" t="s">
        <v>29</v>
      </c>
    </row>
    <row r="21" spans="2:16" x14ac:dyDescent="0.2">
      <c r="B21" s="6">
        <v>10</v>
      </c>
      <c r="C21" s="6" t="s">
        <v>28</v>
      </c>
      <c r="D21" s="25">
        <v>1.4618979403699599</v>
      </c>
      <c r="E21" s="26">
        <v>0.57337376388595396</v>
      </c>
      <c r="F21" s="26">
        <v>2.5496421923147801</v>
      </c>
      <c r="G21" s="29">
        <v>1.07833527434086E-2</v>
      </c>
      <c r="H21" s="6" t="s">
        <v>29</v>
      </c>
      <c r="J21" s="2">
        <v>10</v>
      </c>
      <c r="K21" s="2" t="s">
        <v>28</v>
      </c>
      <c r="L21" s="23">
        <v>0.22048213510140199</v>
      </c>
      <c r="M21" s="32">
        <v>0.64639854513786199</v>
      </c>
      <c r="N21" s="32">
        <v>0.34109317967969499</v>
      </c>
      <c r="O21" s="30">
        <v>0.73303343551738298</v>
      </c>
      <c r="P21" s="5" t="s">
        <v>29</v>
      </c>
    </row>
    <row r="22" spans="2:16" x14ac:dyDescent="0.2">
      <c r="B22" s="16" t="s">
        <v>35</v>
      </c>
      <c r="C22" s="16"/>
      <c r="D22" s="16"/>
      <c r="E22" s="16"/>
      <c r="F22" s="16"/>
      <c r="G22" s="16"/>
      <c r="H22" s="16"/>
      <c r="J22" s="2">
        <v>11</v>
      </c>
      <c r="K22" s="2" t="s">
        <v>64</v>
      </c>
      <c r="L22" s="21">
        <v>0</v>
      </c>
      <c r="M22" s="32">
        <v>0.30290573966134898</v>
      </c>
      <c r="N22" s="32">
        <v>0</v>
      </c>
      <c r="O22" s="30">
        <v>1</v>
      </c>
      <c r="P22" s="11" t="s">
        <v>30</v>
      </c>
    </row>
    <row r="23" spans="2:16" x14ac:dyDescent="0.2">
      <c r="B23" t="s">
        <v>39</v>
      </c>
      <c r="C23">
        <v>11</v>
      </c>
      <c r="J23" s="2">
        <v>12</v>
      </c>
      <c r="K23" s="2" t="s">
        <v>66</v>
      </c>
      <c r="L23" s="21">
        <v>0</v>
      </c>
      <c r="M23" s="32">
        <v>0.36541283144876302</v>
      </c>
      <c r="N23" s="32">
        <v>0</v>
      </c>
      <c r="O23" s="30">
        <v>1</v>
      </c>
      <c r="P23" s="11" t="s">
        <v>30</v>
      </c>
    </row>
    <row r="24" spans="2:16" x14ac:dyDescent="0.2">
      <c r="B24" t="s">
        <v>40</v>
      </c>
      <c r="C24">
        <v>89</v>
      </c>
      <c r="J24" s="2">
        <v>13</v>
      </c>
      <c r="K24" s="2" t="s">
        <v>68</v>
      </c>
      <c r="L24" s="21">
        <v>0</v>
      </c>
      <c r="M24" s="32">
        <v>0.63032583395006503</v>
      </c>
      <c r="N24" s="32">
        <v>0</v>
      </c>
      <c r="O24" s="30">
        <v>1</v>
      </c>
      <c r="P24" s="11" t="s">
        <v>30</v>
      </c>
    </row>
    <row r="25" spans="2:16" x14ac:dyDescent="0.2">
      <c r="B25" t="s">
        <v>41</v>
      </c>
      <c r="C25" s="27">
        <v>-332.4332</v>
      </c>
      <c r="J25" s="6">
        <v>14</v>
      </c>
      <c r="K25" s="6" t="s">
        <v>70</v>
      </c>
      <c r="L25" s="33">
        <v>-0.55010210716980801</v>
      </c>
      <c r="M25" s="34">
        <v>0.173092467820327</v>
      </c>
      <c r="N25" s="34">
        <v>-3.1780822937992901</v>
      </c>
      <c r="O25" s="31">
        <v>1.4825266540792099E-3</v>
      </c>
      <c r="P25" s="12" t="s">
        <v>29</v>
      </c>
    </row>
    <row r="26" spans="2:16" x14ac:dyDescent="0.2">
      <c r="B26" t="s">
        <v>42</v>
      </c>
      <c r="C26" s="27">
        <v>-197.33789999999999</v>
      </c>
      <c r="J26" s="16" t="s">
        <v>35</v>
      </c>
      <c r="K26" s="16"/>
      <c r="L26" s="16"/>
      <c r="M26" s="16"/>
      <c r="N26" s="16"/>
      <c r="O26" s="16"/>
      <c r="P26" s="16"/>
    </row>
    <row r="27" spans="2:16" x14ac:dyDescent="0.2">
      <c r="B27" t="s">
        <v>92</v>
      </c>
      <c r="C27" s="27">
        <f>-2*(C25-C26)</f>
        <v>270.19060000000002</v>
      </c>
      <c r="J27" t="s">
        <v>39</v>
      </c>
      <c r="K27">
        <v>15</v>
      </c>
      <c r="L27" s="7"/>
      <c r="M27" s="7"/>
      <c r="N27" s="7"/>
      <c r="O27" s="7"/>
    </row>
    <row r="28" spans="2:16" x14ac:dyDescent="0.2">
      <c r="B28" t="s">
        <v>43</v>
      </c>
      <c r="C28" s="27">
        <v>416.67579999999998</v>
      </c>
      <c r="J28" t="s">
        <v>40</v>
      </c>
      <c r="K28">
        <v>89</v>
      </c>
      <c r="L28" s="7"/>
      <c r="M28" s="7"/>
      <c r="N28" s="7"/>
      <c r="O28" s="7"/>
    </row>
    <row r="29" spans="2:16" x14ac:dyDescent="0.2">
      <c r="B29" t="s">
        <v>44</v>
      </c>
      <c r="C29" s="27">
        <v>444.05079999999998</v>
      </c>
      <c r="J29" t="s">
        <v>41</v>
      </c>
      <c r="K29" s="27">
        <f>C25</f>
        <v>-332.4332</v>
      </c>
      <c r="L29" s="7"/>
      <c r="M29" s="7"/>
      <c r="N29" s="7"/>
      <c r="O29" s="7"/>
    </row>
    <row r="30" spans="2:16" x14ac:dyDescent="0.2">
      <c r="J30" t="s">
        <v>42</v>
      </c>
      <c r="K30" s="27">
        <v>-156.2439</v>
      </c>
      <c r="L30" s="7"/>
      <c r="M30" s="7"/>
      <c r="N30" s="7"/>
      <c r="O30" s="7"/>
    </row>
    <row r="31" spans="2:16" x14ac:dyDescent="0.2">
      <c r="B31" s="17" t="s">
        <v>97</v>
      </c>
      <c r="C31" s="17"/>
      <c r="D31" s="17"/>
      <c r="E31" s="17"/>
      <c r="F31" s="17"/>
      <c r="G31" s="17"/>
      <c r="H31" s="17"/>
      <c r="J31" t="s">
        <v>92</v>
      </c>
      <c r="K31" s="27">
        <f>-2*(K29-K30)</f>
        <v>352.37860000000001</v>
      </c>
      <c r="L31" s="7"/>
      <c r="M31" s="7"/>
      <c r="N31" s="7"/>
      <c r="O31" s="7"/>
    </row>
    <row r="32" spans="2:16" x14ac:dyDescent="0.2">
      <c r="B32" s="1" t="s">
        <v>93</v>
      </c>
      <c r="C32" s="1"/>
      <c r="D32" s="1"/>
      <c r="E32" s="1"/>
      <c r="F32" s="1"/>
      <c r="G32" s="1"/>
      <c r="H32" s="1"/>
      <c r="J32" t="s">
        <v>43</v>
      </c>
      <c r="K32" s="27">
        <v>342.48779999999999</v>
      </c>
    </row>
    <row r="33" spans="2:16" x14ac:dyDescent="0.2">
      <c r="J33" t="s">
        <v>44</v>
      </c>
      <c r="K33" s="27">
        <v>379.81729999999999</v>
      </c>
    </row>
    <row r="34" spans="2:16" x14ac:dyDescent="0.2">
      <c r="B34" t="s">
        <v>36</v>
      </c>
      <c r="C34">
        <f>K27-C23</f>
        <v>4</v>
      </c>
    </row>
    <row r="35" spans="2:16" x14ac:dyDescent="0.2">
      <c r="B35" t="s">
        <v>37</v>
      </c>
      <c r="C35" s="27">
        <f>-2*(C26-K30)</f>
        <v>82.187999999999988</v>
      </c>
      <c r="J35" s="9"/>
      <c r="K35" s="9"/>
      <c r="L35" s="9"/>
      <c r="M35" s="9"/>
      <c r="N35" s="9"/>
      <c r="O35" s="9"/>
      <c r="P35" s="9"/>
    </row>
    <row r="36" spans="2:16" ht="20" x14ac:dyDescent="0.25">
      <c r="B36" t="s">
        <v>38</v>
      </c>
      <c r="C36" s="27">
        <f>_xlfn.CHISQ.INV(0.95,C34)</f>
        <v>9.4877290367811575</v>
      </c>
      <c r="D36" s="10" t="s">
        <v>7</v>
      </c>
      <c r="E36" s="19" t="str">
        <f>IF(C35&lt;C36,"H0 cannot be rejected","H0 rejected")</f>
        <v>H0 rejected</v>
      </c>
      <c r="F36" s="19"/>
      <c r="G36" s="19"/>
      <c r="H36" s="19"/>
      <c r="J36" s="1"/>
      <c r="K36" s="1"/>
      <c r="L36" s="1"/>
      <c r="M36" s="1"/>
      <c r="N36" s="1"/>
      <c r="O36" s="1"/>
      <c r="P36" s="1"/>
    </row>
    <row r="40" spans="2:16" x14ac:dyDescent="0.2">
      <c r="L40" s="3"/>
      <c r="M40" s="15"/>
      <c r="N40" s="14"/>
      <c r="O40" s="14"/>
      <c r="P40" s="14"/>
    </row>
  </sheetData>
  <mergeCells count="6">
    <mergeCell ref="E36:H36"/>
    <mergeCell ref="J26:P26"/>
    <mergeCell ref="B22:H22"/>
    <mergeCell ref="B31:H31"/>
    <mergeCell ref="J9:P9"/>
    <mergeCell ref="B9:H9"/>
  </mergeCells>
  <conditionalFormatting sqref="E36:H36">
    <cfRule type="cellIs" dxfId="251" priority="3" operator="equal">
      <formula>"H0 cannot be rejected"</formula>
    </cfRule>
    <cfRule type="cellIs" dxfId="250" priority="4" operator="equal">
      <formula>"H0 rejected"</formula>
    </cfRule>
  </conditionalFormatting>
  <conditionalFormatting sqref="M40:P40">
    <cfRule type="cellIs" dxfId="249" priority="1" operator="equal">
      <formula>"H0 cannot be rejected"</formula>
    </cfRule>
    <cfRule type="cellIs" dxfId="248" priority="2" operator="equal">
      <formula>"H0 rejected"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3349-9B86-484E-B355-9C021ACB64B6}">
  <sheetPr>
    <tabColor rgb="FF92D050"/>
  </sheetPr>
  <dimension ref="B2:X42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  <col min="18" max="18" width="31.83203125" bestFit="1" customWidth="1"/>
    <col min="19" max="19" width="26" bestFit="1" customWidth="1"/>
    <col min="20" max="22" width="12.83203125" bestFit="1" customWidth="1"/>
    <col min="23" max="23" width="13.1640625" bestFit="1" customWidth="1"/>
    <col min="24" max="24" width="11.5" bestFit="1" customWidth="1"/>
    <col min="25" max="25" width="6.33203125" customWidth="1"/>
  </cols>
  <sheetData>
    <row r="2" spans="2:24" x14ac:dyDescent="0.2">
      <c r="B2" s="13" t="s">
        <v>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2:24" x14ac:dyDescent="0.2">
      <c r="B4" s="12" t="s">
        <v>45</v>
      </c>
      <c r="C4" s="12" t="s">
        <v>46</v>
      </c>
      <c r="D4" s="2"/>
      <c r="E4" s="2"/>
      <c r="F4" s="2"/>
    </row>
    <row r="5" spans="2:24" x14ac:dyDescent="0.2">
      <c r="B5" s="5" t="s">
        <v>0</v>
      </c>
      <c r="C5" s="4" t="s">
        <v>5</v>
      </c>
      <c r="D5" s="2"/>
      <c r="E5" s="2"/>
      <c r="F5" s="2"/>
    </row>
    <row r="6" spans="2:24" x14ac:dyDescent="0.2">
      <c r="B6" s="5" t="s">
        <v>1</v>
      </c>
      <c r="C6" s="4" t="s">
        <v>5</v>
      </c>
      <c r="D6" s="2"/>
      <c r="E6" s="2"/>
      <c r="F6" s="2"/>
    </row>
    <row r="7" spans="2:24" x14ac:dyDescent="0.2">
      <c r="B7" s="5" t="s">
        <v>2</v>
      </c>
      <c r="C7" s="4" t="s">
        <v>5</v>
      </c>
      <c r="D7" s="2"/>
      <c r="E7" s="2"/>
      <c r="F7" s="2"/>
    </row>
    <row r="8" spans="2:24" x14ac:dyDescent="0.2">
      <c r="B8" s="5" t="s">
        <v>3</v>
      </c>
      <c r="C8" s="4" t="s">
        <v>6</v>
      </c>
      <c r="D8" s="2"/>
      <c r="E8" s="2"/>
      <c r="F8" s="2"/>
    </row>
    <row r="10" spans="2:24" x14ac:dyDescent="0.2">
      <c r="B10" s="18" t="s">
        <v>52</v>
      </c>
      <c r="C10" s="18"/>
      <c r="D10" s="18"/>
      <c r="E10" s="18"/>
      <c r="F10" s="18"/>
      <c r="G10" s="18"/>
      <c r="H10" s="18"/>
      <c r="J10" s="18" t="s">
        <v>51</v>
      </c>
      <c r="K10" s="18"/>
      <c r="L10" s="18"/>
      <c r="M10" s="18"/>
      <c r="N10" s="18"/>
      <c r="O10" s="18"/>
      <c r="P10" s="18"/>
      <c r="R10" s="18" t="s">
        <v>53</v>
      </c>
      <c r="S10" s="18"/>
      <c r="T10" s="18"/>
      <c r="U10" s="18"/>
      <c r="V10" s="18"/>
      <c r="W10" s="18"/>
      <c r="X10" s="18"/>
    </row>
    <row r="11" spans="2:24" x14ac:dyDescent="0.2">
      <c r="B11" s="6" t="s">
        <v>34</v>
      </c>
      <c r="C11" s="6" t="s">
        <v>22</v>
      </c>
      <c r="D11" s="8" t="s">
        <v>23</v>
      </c>
      <c r="E11" s="8" t="s">
        <v>24</v>
      </c>
      <c r="F11" s="8" t="s">
        <v>25</v>
      </c>
      <c r="G11" s="8" t="s">
        <v>26</v>
      </c>
      <c r="H11" s="6" t="s">
        <v>27</v>
      </c>
      <c r="J11" s="6" t="s">
        <v>34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R11" s="6" t="s">
        <v>34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</row>
    <row r="12" spans="2:24" x14ac:dyDescent="0.2">
      <c r="B12" s="2">
        <v>0</v>
      </c>
      <c r="C12" s="2" t="s">
        <v>32</v>
      </c>
      <c r="D12" s="23">
        <v>5.4102628980923599</v>
      </c>
      <c r="E12" s="22">
        <v>0.55146535115596595</v>
      </c>
      <c r="F12" s="22">
        <v>9.8107032232424292</v>
      </c>
      <c r="G12" s="28">
        <v>0</v>
      </c>
      <c r="H12" s="5" t="s">
        <v>29</v>
      </c>
      <c r="J12" s="2">
        <v>0</v>
      </c>
      <c r="K12" s="2" t="s">
        <v>32</v>
      </c>
      <c r="L12" s="23">
        <v>6.2409724133537603</v>
      </c>
      <c r="M12" s="32">
        <v>0.58398123070152896</v>
      </c>
      <c r="N12" s="32">
        <v>10.6869400680164</v>
      </c>
      <c r="O12" s="30">
        <v>0</v>
      </c>
      <c r="P12" s="5" t="s">
        <v>29</v>
      </c>
      <c r="R12" s="5">
        <v>0</v>
      </c>
      <c r="S12" s="5" t="s">
        <v>32</v>
      </c>
      <c r="T12" s="23">
        <v>6.2937399188780301</v>
      </c>
      <c r="U12" s="32">
        <v>0.59552175985243405</v>
      </c>
      <c r="V12" s="32">
        <v>10.568446601241799</v>
      </c>
      <c r="W12" s="30">
        <v>0</v>
      </c>
      <c r="X12" s="5" t="s">
        <v>29</v>
      </c>
    </row>
    <row r="13" spans="2:24" x14ac:dyDescent="0.2">
      <c r="B13" s="2">
        <v>1</v>
      </c>
      <c r="C13" s="2" t="s">
        <v>55</v>
      </c>
      <c r="D13" s="21">
        <v>0</v>
      </c>
      <c r="E13" s="22">
        <v>0.246703619198017</v>
      </c>
      <c r="F13" s="22">
        <v>0</v>
      </c>
      <c r="G13" s="28">
        <v>1</v>
      </c>
      <c r="H13" s="11" t="s">
        <v>30</v>
      </c>
      <c r="J13" s="2">
        <v>1</v>
      </c>
      <c r="K13" s="2" t="s">
        <v>72</v>
      </c>
      <c r="L13" s="21">
        <v>0</v>
      </c>
      <c r="M13" s="32">
        <v>0.23352746408198199</v>
      </c>
      <c r="N13" s="32">
        <v>0</v>
      </c>
      <c r="O13" s="30">
        <v>1</v>
      </c>
      <c r="P13" s="11" t="s">
        <v>30</v>
      </c>
      <c r="R13" s="5">
        <v>1</v>
      </c>
      <c r="S13" s="5" t="s">
        <v>72</v>
      </c>
      <c r="T13" s="21">
        <v>0</v>
      </c>
      <c r="U13" s="32">
        <v>0.26736585698672499</v>
      </c>
      <c r="V13" s="32">
        <v>0</v>
      </c>
      <c r="W13" s="30">
        <v>1</v>
      </c>
      <c r="X13" s="11" t="s">
        <v>30</v>
      </c>
    </row>
    <row r="14" spans="2:24" x14ac:dyDescent="0.2">
      <c r="B14" s="2">
        <v>2</v>
      </c>
      <c r="C14" s="2" t="s">
        <v>56</v>
      </c>
      <c r="D14" s="23">
        <v>-0.63658082921651804</v>
      </c>
      <c r="E14" s="22">
        <v>0.111642014523138</v>
      </c>
      <c r="F14" s="22">
        <v>-5.7019826445767299</v>
      </c>
      <c r="G14" s="28">
        <v>1.1842188785138301E-8</v>
      </c>
      <c r="H14" s="5" t="s">
        <v>29</v>
      </c>
      <c r="J14" s="2">
        <v>2</v>
      </c>
      <c r="K14" s="2" t="s">
        <v>74</v>
      </c>
      <c r="L14" s="23">
        <v>-0.73707701281256599</v>
      </c>
      <c r="M14" s="32">
        <v>0.14294967656397101</v>
      </c>
      <c r="N14" s="32">
        <v>-5.1561992340900096</v>
      </c>
      <c r="O14" s="30">
        <v>2.5201275244413E-7</v>
      </c>
      <c r="P14" s="5" t="s">
        <v>29</v>
      </c>
      <c r="R14" s="5">
        <v>2</v>
      </c>
      <c r="S14" s="5" t="s">
        <v>74</v>
      </c>
      <c r="T14" s="23">
        <v>-0.758337750691361</v>
      </c>
      <c r="U14" s="32">
        <v>0.14864842735518199</v>
      </c>
      <c r="V14" s="32">
        <v>-5.1015524629761302</v>
      </c>
      <c r="W14" s="30">
        <v>3.36878607454238E-7</v>
      </c>
      <c r="X14" s="5" t="s">
        <v>29</v>
      </c>
    </row>
    <row r="15" spans="2:24" x14ac:dyDescent="0.2">
      <c r="B15" s="2">
        <v>3</v>
      </c>
      <c r="C15" s="2" t="s">
        <v>57</v>
      </c>
      <c r="D15" s="23">
        <v>-0.37247663867995301</v>
      </c>
      <c r="E15" s="22">
        <v>0.20297646605917599</v>
      </c>
      <c r="F15" s="22">
        <v>-1.83507303044364</v>
      </c>
      <c r="G15" s="28">
        <v>6.6494869356669997E-2</v>
      </c>
      <c r="H15" s="2" t="s">
        <v>29</v>
      </c>
      <c r="J15" s="2">
        <v>3</v>
      </c>
      <c r="K15" s="2" t="s">
        <v>76</v>
      </c>
      <c r="L15" s="21">
        <v>0</v>
      </c>
      <c r="M15" s="32">
        <v>1.0451638929776601</v>
      </c>
      <c r="N15" s="32">
        <v>0</v>
      </c>
      <c r="O15" s="30">
        <v>1</v>
      </c>
      <c r="P15" s="11" t="s">
        <v>30</v>
      </c>
      <c r="R15" s="5">
        <v>3</v>
      </c>
      <c r="S15" s="5" t="s">
        <v>76</v>
      </c>
      <c r="T15" s="21">
        <v>0</v>
      </c>
      <c r="U15" s="32">
        <v>1.1392344897733799</v>
      </c>
      <c r="V15" s="32">
        <v>0</v>
      </c>
      <c r="W15" s="30">
        <v>1</v>
      </c>
      <c r="X15" s="11" t="s">
        <v>30</v>
      </c>
    </row>
    <row r="16" spans="2:24" x14ac:dyDescent="0.2">
      <c r="B16" s="2">
        <v>4</v>
      </c>
      <c r="C16" s="2" t="s">
        <v>58</v>
      </c>
      <c r="D16" s="24">
        <v>-2.2108213099643401</v>
      </c>
      <c r="E16" s="22">
        <v>0.25980507075766301</v>
      </c>
      <c r="F16" s="22">
        <v>-8.5095387226930601</v>
      </c>
      <c r="G16" s="28">
        <v>0</v>
      </c>
      <c r="H16" s="2" t="s">
        <v>29</v>
      </c>
      <c r="J16" s="2">
        <v>4</v>
      </c>
      <c r="K16" s="2" t="s">
        <v>78</v>
      </c>
      <c r="L16" s="23">
        <v>-6.0399104899661697</v>
      </c>
      <c r="M16" s="32">
        <v>0.91802614602139898</v>
      </c>
      <c r="N16" s="32">
        <v>-6.5792358051481603</v>
      </c>
      <c r="O16" s="30">
        <v>4.7287285198649397E-11</v>
      </c>
      <c r="P16" s="5" t="s">
        <v>29</v>
      </c>
      <c r="R16" s="5">
        <v>4</v>
      </c>
      <c r="S16" s="5" t="s">
        <v>78</v>
      </c>
      <c r="T16" s="23">
        <v>-6.0817115816309704</v>
      </c>
      <c r="U16" s="32">
        <v>0.93061846060120001</v>
      </c>
      <c r="V16" s="32">
        <v>-6.5351288837554797</v>
      </c>
      <c r="W16" s="30">
        <v>6.3554717044666996E-11</v>
      </c>
      <c r="X16" s="5" t="s">
        <v>29</v>
      </c>
    </row>
    <row r="17" spans="2:24" x14ac:dyDescent="0.2">
      <c r="B17" s="2">
        <v>5</v>
      </c>
      <c r="C17" s="2" t="s">
        <v>33</v>
      </c>
      <c r="D17" s="24">
        <v>1.4283703079393899</v>
      </c>
      <c r="E17" s="22">
        <v>0.56129779333686902</v>
      </c>
      <c r="F17" s="22">
        <v>2.5447638043396701</v>
      </c>
      <c r="G17" s="28">
        <v>1.09351677387328E-2</v>
      </c>
      <c r="H17" s="2" t="s">
        <v>29</v>
      </c>
      <c r="J17" s="2">
        <v>5</v>
      </c>
      <c r="K17" s="2" t="s">
        <v>33</v>
      </c>
      <c r="L17" s="23">
        <v>1.0658431957618399</v>
      </c>
      <c r="M17" s="32">
        <v>0.65846179795242099</v>
      </c>
      <c r="N17" s="32">
        <v>1.6186864584646099</v>
      </c>
      <c r="O17" s="30">
        <v>0.105514741936295</v>
      </c>
      <c r="P17" s="5" t="s">
        <v>29</v>
      </c>
      <c r="R17" s="5">
        <v>5</v>
      </c>
      <c r="S17" s="5" t="s">
        <v>33</v>
      </c>
      <c r="T17" s="23">
        <v>0.96293206692889</v>
      </c>
      <c r="U17" s="32">
        <v>0.64841783068175196</v>
      </c>
      <c r="V17" s="32">
        <v>1.4850487160670001</v>
      </c>
      <c r="W17" s="30">
        <v>0.13753091969987</v>
      </c>
      <c r="X17" s="5" t="s">
        <v>29</v>
      </c>
    </row>
    <row r="18" spans="2:24" x14ac:dyDescent="0.2">
      <c r="B18" s="2">
        <v>6</v>
      </c>
      <c r="C18" s="2" t="s">
        <v>59</v>
      </c>
      <c r="D18" s="21">
        <v>0</v>
      </c>
      <c r="E18" s="22">
        <v>0.32626139424492701</v>
      </c>
      <c r="F18" s="22">
        <v>0</v>
      </c>
      <c r="G18" s="28">
        <v>1</v>
      </c>
      <c r="H18" s="11" t="s">
        <v>30</v>
      </c>
      <c r="J18" s="2">
        <v>6</v>
      </c>
      <c r="K18" s="2" t="s">
        <v>79</v>
      </c>
      <c r="L18" s="21">
        <v>0</v>
      </c>
      <c r="M18" s="32">
        <v>0.37062381605796302</v>
      </c>
      <c r="N18" s="32">
        <v>0</v>
      </c>
      <c r="O18" s="30">
        <v>1</v>
      </c>
      <c r="P18" s="11" t="s">
        <v>30</v>
      </c>
      <c r="R18" s="5">
        <v>6</v>
      </c>
      <c r="S18" s="5" t="s">
        <v>79</v>
      </c>
      <c r="T18" s="21">
        <v>0</v>
      </c>
      <c r="U18" s="32">
        <v>0.36185445284774398</v>
      </c>
      <c r="V18" s="32">
        <v>0</v>
      </c>
      <c r="W18" s="30">
        <v>1</v>
      </c>
      <c r="X18" s="11" t="s">
        <v>30</v>
      </c>
    </row>
    <row r="19" spans="2:24" x14ac:dyDescent="0.2">
      <c r="B19" s="2">
        <v>7</v>
      </c>
      <c r="C19" s="2" t="s">
        <v>60</v>
      </c>
      <c r="D19" s="24">
        <v>-0.28657227064707602</v>
      </c>
      <c r="E19" s="22">
        <v>0.18148639591231799</v>
      </c>
      <c r="F19" s="22">
        <v>-1.5790289360615699</v>
      </c>
      <c r="G19" s="28">
        <v>0.114329420091399</v>
      </c>
      <c r="H19" s="2" t="s">
        <v>29</v>
      </c>
      <c r="J19" s="2">
        <v>7</v>
      </c>
      <c r="K19" s="2" t="s">
        <v>80</v>
      </c>
      <c r="L19" s="23">
        <v>-0.17796082499662999</v>
      </c>
      <c r="M19" s="32">
        <v>0.192293528151597</v>
      </c>
      <c r="N19" s="32">
        <v>-0.92546445378199005</v>
      </c>
      <c r="O19" s="30">
        <v>0.35472436544864999</v>
      </c>
      <c r="P19" s="5" t="s">
        <v>29</v>
      </c>
      <c r="R19" s="5">
        <v>7</v>
      </c>
      <c r="S19" s="5" t="s">
        <v>80</v>
      </c>
      <c r="T19" s="23">
        <v>-0.152037984388254</v>
      </c>
      <c r="U19" s="32">
        <v>0.17502437671700699</v>
      </c>
      <c r="V19" s="32">
        <v>-0.86866748072516398</v>
      </c>
      <c r="W19" s="30">
        <v>0.38502903319877801</v>
      </c>
      <c r="X19" s="5" t="s">
        <v>29</v>
      </c>
    </row>
    <row r="20" spans="2:24" x14ac:dyDescent="0.2">
      <c r="B20" s="2">
        <v>8</v>
      </c>
      <c r="C20" s="2" t="s">
        <v>61</v>
      </c>
      <c r="D20" s="21">
        <v>0</v>
      </c>
      <c r="E20" s="22">
        <v>0.44805986940361298</v>
      </c>
      <c r="F20" s="22">
        <v>0</v>
      </c>
      <c r="G20" s="28">
        <v>1</v>
      </c>
      <c r="H20" s="11" t="s">
        <v>30</v>
      </c>
      <c r="J20" s="2">
        <v>8</v>
      </c>
      <c r="K20" s="2" t="s">
        <v>81</v>
      </c>
      <c r="L20" s="21">
        <v>0</v>
      </c>
      <c r="M20" s="32">
        <v>0.59307975909428601</v>
      </c>
      <c r="N20" s="32">
        <v>0</v>
      </c>
      <c r="O20" s="30">
        <v>1</v>
      </c>
      <c r="P20" s="11" t="s">
        <v>30</v>
      </c>
      <c r="R20" s="5">
        <v>8</v>
      </c>
      <c r="S20" s="5" t="s">
        <v>81</v>
      </c>
      <c r="T20" s="21">
        <v>0</v>
      </c>
      <c r="U20" s="32">
        <v>0.55770548513461804</v>
      </c>
      <c r="V20" s="32">
        <v>0</v>
      </c>
      <c r="W20" s="30">
        <v>1</v>
      </c>
      <c r="X20" s="11" t="s">
        <v>30</v>
      </c>
    </row>
    <row r="21" spans="2:24" x14ac:dyDescent="0.2">
      <c r="B21" s="2">
        <v>9</v>
      </c>
      <c r="C21" s="2" t="s">
        <v>62</v>
      </c>
      <c r="D21" s="24">
        <v>-0.57513764789577004</v>
      </c>
      <c r="E21" s="22">
        <v>0.159318524505842</v>
      </c>
      <c r="F21" s="22">
        <v>-3.6099860306870801</v>
      </c>
      <c r="G21" s="28">
        <v>3.0621349593884501E-4</v>
      </c>
      <c r="H21" s="2" t="s">
        <v>29</v>
      </c>
      <c r="J21" s="2">
        <v>9</v>
      </c>
      <c r="K21" s="2" t="s">
        <v>82</v>
      </c>
      <c r="L21" s="23">
        <v>-0.671366683862752</v>
      </c>
      <c r="M21" s="32">
        <v>0.18963916827229901</v>
      </c>
      <c r="N21" s="32">
        <v>-3.5402321681708102</v>
      </c>
      <c r="O21" s="30">
        <v>3.9977517848099799E-4</v>
      </c>
      <c r="P21" s="5" t="s">
        <v>29</v>
      </c>
      <c r="R21" s="5">
        <v>9</v>
      </c>
      <c r="S21" s="5" t="s">
        <v>82</v>
      </c>
      <c r="T21" s="23">
        <v>-0.69540519689590496</v>
      </c>
      <c r="U21" s="32">
        <v>0.200517503966224</v>
      </c>
      <c r="V21" s="32">
        <v>-3.4680523302994999</v>
      </c>
      <c r="W21" s="30">
        <v>5.2424519022831097E-4</v>
      </c>
      <c r="X21" s="5" t="s">
        <v>29</v>
      </c>
    </row>
    <row r="22" spans="2:24" x14ac:dyDescent="0.2">
      <c r="B22" s="2">
        <v>10</v>
      </c>
      <c r="C22" s="2" t="s">
        <v>28</v>
      </c>
      <c r="D22" s="21">
        <v>0</v>
      </c>
      <c r="E22" s="22">
        <v>0.52899231359685595</v>
      </c>
      <c r="F22" s="22">
        <v>0</v>
      </c>
      <c r="G22" s="28">
        <v>1</v>
      </c>
      <c r="H22" s="11" t="s">
        <v>30</v>
      </c>
      <c r="J22" s="2">
        <v>10</v>
      </c>
      <c r="K22" s="2" t="s">
        <v>28</v>
      </c>
      <c r="L22" s="21">
        <v>0</v>
      </c>
      <c r="M22" s="32">
        <v>0.55634130136987203</v>
      </c>
      <c r="N22" s="32">
        <v>0</v>
      </c>
      <c r="O22" s="30">
        <v>1</v>
      </c>
      <c r="P22" s="11" t="s">
        <v>30</v>
      </c>
      <c r="R22" s="5">
        <v>10</v>
      </c>
      <c r="S22" s="5" t="s">
        <v>28</v>
      </c>
      <c r="T22" s="23">
        <v>2.0966206426762901</v>
      </c>
      <c r="U22" s="32">
        <v>1.1191394803022301</v>
      </c>
      <c r="V22" s="32">
        <v>1.8734221065189101</v>
      </c>
      <c r="W22" s="30">
        <v>6.1010119702989501E-2</v>
      </c>
      <c r="X22" s="5" t="s">
        <v>29</v>
      </c>
    </row>
    <row r="23" spans="2:24" x14ac:dyDescent="0.2">
      <c r="B23" s="6">
        <v>11</v>
      </c>
      <c r="C23" s="6" t="s">
        <v>31</v>
      </c>
      <c r="D23" s="25">
        <v>1.6136471423412799</v>
      </c>
      <c r="E23" s="26">
        <v>0.543585997724226</v>
      </c>
      <c r="F23" s="26">
        <v>2.96852227448273</v>
      </c>
      <c r="G23" s="29">
        <v>2.9923541351699599E-3</v>
      </c>
      <c r="H23" s="6" t="s">
        <v>29</v>
      </c>
      <c r="J23" s="2">
        <v>11</v>
      </c>
      <c r="K23" s="2" t="s">
        <v>63</v>
      </c>
      <c r="L23" s="23">
        <v>-0.50383333354383897</v>
      </c>
      <c r="M23" s="32">
        <v>0.33294715624016402</v>
      </c>
      <c r="N23" s="32">
        <v>-1.5132531517416199</v>
      </c>
      <c r="O23" s="30">
        <v>0.130215367723509</v>
      </c>
      <c r="P23" s="5" t="s">
        <v>29</v>
      </c>
      <c r="R23" s="5">
        <v>11</v>
      </c>
      <c r="S23" s="5" t="s">
        <v>64</v>
      </c>
      <c r="T23" s="23">
        <v>-1.87691803000265</v>
      </c>
      <c r="U23" s="32">
        <v>0.91232551874203205</v>
      </c>
      <c r="V23" s="32">
        <v>-2.0572898504369999</v>
      </c>
      <c r="W23" s="30">
        <v>3.9658353074239497E-2</v>
      </c>
      <c r="X23" s="5" t="s">
        <v>29</v>
      </c>
    </row>
    <row r="24" spans="2:24" x14ac:dyDescent="0.2">
      <c r="B24" s="16" t="s">
        <v>35</v>
      </c>
      <c r="C24" s="16"/>
      <c r="D24" s="16"/>
      <c r="E24" s="16"/>
      <c r="F24" s="16"/>
      <c r="G24" s="16"/>
      <c r="H24" s="16"/>
      <c r="J24" s="2">
        <v>12</v>
      </c>
      <c r="K24" s="2" t="s">
        <v>65</v>
      </c>
      <c r="L24" s="23">
        <v>-0.99684033794985905</v>
      </c>
      <c r="M24" s="32">
        <v>0.25017014359550199</v>
      </c>
      <c r="N24" s="32">
        <v>-3.9846495014274699</v>
      </c>
      <c r="O24" s="30">
        <v>6.7579799826855596E-5</v>
      </c>
      <c r="P24" s="5" t="s">
        <v>29</v>
      </c>
      <c r="R24" s="5">
        <v>12</v>
      </c>
      <c r="S24" s="5" t="s">
        <v>66</v>
      </c>
      <c r="T24" s="23">
        <v>-2.6092109680336399</v>
      </c>
      <c r="U24" s="32">
        <v>0.61406073104515402</v>
      </c>
      <c r="V24" s="32">
        <v>-4.2491089824171997</v>
      </c>
      <c r="W24" s="30">
        <v>2.1462249039094701E-5</v>
      </c>
      <c r="X24" s="5" t="s">
        <v>29</v>
      </c>
    </row>
    <row r="25" spans="2:24" x14ac:dyDescent="0.2">
      <c r="B25" t="s">
        <v>39</v>
      </c>
      <c r="C25">
        <v>12</v>
      </c>
      <c r="J25" s="2">
        <v>13</v>
      </c>
      <c r="K25" s="2" t="s">
        <v>67</v>
      </c>
      <c r="L25" s="23">
        <v>-0.112120497082736</v>
      </c>
      <c r="M25" s="32">
        <v>0.196118466279041</v>
      </c>
      <c r="N25" s="32">
        <v>-0.57169780699390504</v>
      </c>
      <c r="O25" s="30">
        <v>0.56752672040336705</v>
      </c>
      <c r="P25" s="5" t="s">
        <v>29</v>
      </c>
      <c r="R25" s="5">
        <v>13</v>
      </c>
      <c r="S25" s="5" t="s">
        <v>68</v>
      </c>
      <c r="T25" s="23">
        <v>-0.20326240898206699</v>
      </c>
      <c r="U25" s="32">
        <v>1.21567510388139</v>
      </c>
      <c r="V25" s="32">
        <v>-0.16720125988686799</v>
      </c>
      <c r="W25" s="30">
        <v>0.86721169312828195</v>
      </c>
      <c r="X25" s="5" t="s">
        <v>29</v>
      </c>
    </row>
    <row r="26" spans="2:24" x14ac:dyDescent="0.2">
      <c r="B26" t="s">
        <v>40</v>
      </c>
      <c r="C26">
        <v>257</v>
      </c>
      <c r="J26" s="2">
        <v>14</v>
      </c>
      <c r="K26" s="2" t="s">
        <v>69</v>
      </c>
      <c r="L26" s="23">
        <v>-0.81797475640966699</v>
      </c>
      <c r="M26" s="32">
        <v>0.146355254572993</v>
      </c>
      <c r="N26" s="32">
        <v>-5.5889674668408196</v>
      </c>
      <c r="O26" s="30">
        <v>2.2842373992304398E-8</v>
      </c>
      <c r="P26" s="5" t="s">
        <v>29</v>
      </c>
      <c r="R26" s="5">
        <v>14</v>
      </c>
      <c r="S26" s="5" t="s">
        <v>70</v>
      </c>
      <c r="T26" s="23">
        <v>-3.6819732358074</v>
      </c>
      <c r="U26" s="32">
        <v>2.2062648239739602</v>
      </c>
      <c r="V26" s="32">
        <v>-1.6688718397709601</v>
      </c>
      <c r="W26" s="30">
        <v>9.5142781518639599E-2</v>
      </c>
      <c r="X26" s="5" t="s">
        <v>29</v>
      </c>
    </row>
    <row r="27" spans="2:24" x14ac:dyDescent="0.2">
      <c r="B27" t="s">
        <v>41</v>
      </c>
      <c r="C27" s="27">
        <v>-1049.0809999999999</v>
      </c>
      <c r="J27" s="6">
        <v>15</v>
      </c>
      <c r="K27" s="6" t="s">
        <v>31</v>
      </c>
      <c r="L27" s="33">
        <v>1.4173962888716001</v>
      </c>
      <c r="M27" s="34">
        <v>0.68326716759844597</v>
      </c>
      <c r="N27" s="34">
        <v>2.0744393351336901</v>
      </c>
      <c r="O27" s="31">
        <v>3.8038527360097101E-2</v>
      </c>
      <c r="P27" s="12" t="s">
        <v>29</v>
      </c>
      <c r="R27" s="5">
        <v>15</v>
      </c>
      <c r="S27" s="5" t="s">
        <v>31</v>
      </c>
      <c r="T27" s="23">
        <v>0.39183430708668299</v>
      </c>
      <c r="U27" s="32">
        <v>0.76134600072390302</v>
      </c>
      <c r="V27" s="32">
        <v>0.51465996631507804</v>
      </c>
      <c r="W27" s="30">
        <v>0.60679065321988401</v>
      </c>
      <c r="X27" s="5" t="s">
        <v>29</v>
      </c>
    </row>
    <row r="28" spans="2:24" x14ac:dyDescent="0.2">
      <c r="B28" t="s">
        <v>42</v>
      </c>
      <c r="C28" s="27">
        <v>-485.0806</v>
      </c>
      <c r="J28" s="16" t="s">
        <v>35</v>
      </c>
      <c r="K28" s="16"/>
      <c r="L28" s="16"/>
      <c r="M28" s="16"/>
      <c r="N28" s="16"/>
      <c r="O28" s="16"/>
      <c r="P28" s="16"/>
      <c r="R28" s="5">
        <v>16</v>
      </c>
      <c r="S28" s="5" t="s">
        <v>71</v>
      </c>
      <c r="T28" s="21">
        <v>0</v>
      </c>
      <c r="U28" s="32">
        <v>0.354088250008609</v>
      </c>
      <c r="V28" s="32">
        <v>0</v>
      </c>
      <c r="W28" s="30">
        <v>1</v>
      </c>
      <c r="X28" s="11" t="s">
        <v>30</v>
      </c>
    </row>
    <row r="29" spans="2:24" x14ac:dyDescent="0.2">
      <c r="B29" t="s">
        <v>92</v>
      </c>
      <c r="C29" s="27">
        <f>-2*(C27-C28)</f>
        <v>1128.0007999999998</v>
      </c>
      <c r="J29" t="s">
        <v>39</v>
      </c>
      <c r="K29">
        <v>16</v>
      </c>
      <c r="L29" s="7"/>
      <c r="M29" s="7"/>
      <c r="N29" s="7"/>
      <c r="O29" s="7"/>
      <c r="R29" s="5">
        <v>17</v>
      </c>
      <c r="S29" s="5" t="s">
        <v>73</v>
      </c>
      <c r="T29" s="23">
        <v>-0.46445420035671803</v>
      </c>
      <c r="U29" s="32">
        <v>0.28055106249956802</v>
      </c>
      <c r="V29" s="32">
        <v>-1.65550683080172</v>
      </c>
      <c r="W29" s="30">
        <v>9.7821731969834194E-2</v>
      </c>
      <c r="X29" s="5" t="s">
        <v>29</v>
      </c>
    </row>
    <row r="30" spans="2:24" x14ac:dyDescent="0.2">
      <c r="B30" t="s">
        <v>43</v>
      </c>
      <c r="C30" s="27">
        <v>994.16120000000001</v>
      </c>
      <c r="J30" t="s">
        <v>40</v>
      </c>
      <c r="K30">
        <v>257</v>
      </c>
      <c r="L30" s="7"/>
      <c r="M30" s="7"/>
      <c r="N30" s="7"/>
      <c r="O30" s="7"/>
      <c r="R30" s="5">
        <v>18</v>
      </c>
      <c r="S30" s="5" t="s">
        <v>75</v>
      </c>
      <c r="T30" s="23">
        <v>-6.4079289879011098E-2</v>
      </c>
      <c r="U30" s="32">
        <v>0.17566023298648301</v>
      </c>
      <c r="V30" s="32">
        <v>-0.36479110148932697</v>
      </c>
      <c r="W30" s="30">
        <v>0.71526734803712999</v>
      </c>
      <c r="X30" s="5" t="s">
        <v>29</v>
      </c>
    </row>
    <row r="31" spans="2:24" x14ac:dyDescent="0.2">
      <c r="B31" t="s">
        <v>44</v>
      </c>
      <c r="C31" s="27">
        <v>1036.75</v>
      </c>
      <c r="J31" t="s">
        <v>41</v>
      </c>
      <c r="K31" s="27">
        <f>C27</f>
        <v>-1049.0809999999999</v>
      </c>
      <c r="L31" s="7"/>
      <c r="M31" s="7"/>
      <c r="N31" s="7"/>
      <c r="O31" s="7"/>
      <c r="R31" s="5">
        <v>19</v>
      </c>
      <c r="S31" s="5" t="s">
        <v>77</v>
      </c>
      <c r="T31" s="23">
        <v>-0.76233821329836304</v>
      </c>
      <c r="U31" s="32">
        <v>0.133261097106877</v>
      </c>
      <c r="V31" s="32">
        <v>-5.7206358783535904</v>
      </c>
      <c r="W31" s="30">
        <v>1.061261167834E-8</v>
      </c>
      <c r="X31" s="5" t="s">
        <v>29</v>
      </c>
    </row>
    <row r="32" spans="2:24" x14ac:dyDescent="0.2">
      <c r="J32" t="s">
        <v>42</v>
      </c>
      <c r="K32" s="27">
        <v>-386.95269999999999</v>
      </c>
      <c r="L32" s="7"/>
      <c r="M32" s="7"/>
      <c r="N32" s="7"/>
      <c r="O32" s="7"/>
      <c r="R32" s="16" t="s">
        <v>35</v>
      </c>
      <c r="S32" s="16"/>
      <c r="T32" s="16"/>
      <c r="U32" s="16"/>
      <c r="V32" s="16"/>
      <c r="W32" s="16"/>
      <c r="X32" s="16"/>
    </row>
    <row r="33" spans="2:19" x14ac:dyDescent="0.2">
      <c r="B33" s="35" t="s">
        <v>95</v>
      </c>
      <c r="C33" s="35"/>
      <c r="D33" s="35"/>
      <c r="E33" s="35"/>
      <c r="F33" s="35"/>
      <c r="G33" s="35"/>
      <c r="H33" s="35"/>
      <c r="J33" t="s">
        <v>92</v>
      </c>
      <c r="K33" s="27">
        <f>-2*(K31-K32)</f>
        <v>1324.2565999999997</v>
      </c>
      <c r="L33" s="7"/>
      <c r="M33" s="7"/>
      <c r="N33" s="7"/>
      <c r="O33" s="7"/>
      <c r="R33" t="s">
        <v>39</v>
      </c>
      <c r="S33">
        <v>20</v>
      </c>
    </row>
    <row r="34" spans="2:19" x14ac:dyDescent="0.2">
      <c r="B34" s="1" t="s">
        <v>93</v>
      </c>
      <c r="C34" s="1"/>
      <c r="D34" s="1"/>
      <c r="E34" s="1"/>
      <c r="F34" s="1"/>
      <c r="G34" s="1"/>
      <c r="H34" s="1"/>
      <c r="J34" t="s">
        <v>43</v>
      </c>
      <c r="K34" s="27">
        <v>805.90539999999999</v>
      </c>
      <c r="R34" t="s">
        <v>40</v>
      </c>
      <c r="S34">
        <v>257</v>
      </c>
    </row>
    <row r="35" spans="2:19" x14ac:dyDescent="0.2">
      <c r="J35" t="s">
        <v>44</v>
      </c>
      <c r="K35" s="27">
        <v>862.69060000000002</v>
      </c>
      <c r="R35" t="s">
        <v>41</v>
      </c>
      <c r="S35" s="27">
        <f>K31</f>
        <v>-1049.0809999999999</v>
      </c>
    </row>
    <row r="36" spans="2:19" x14ac:dyDescent="0.2">
      <c r="B36" t="s">
        <v>36</v>
      </c>
      <c r="C36">
        <f>K29-C25</f>
        <v>4</v>
      </c>
      <c r="R36" t="s">
        <v>42</v>
      </c>
      <c r="S36" s="27">
        <v>-373.1146</v>
      </c>
    </row>
    <row r="37" spans="2:19" x14ac:dyDescent="0.2">
      <c r="B37" t="s">
        <v>37</v>
      </c>
      <c r="C37" s="27">
        <f>-2*(C28-K32)</f>
        <v>196.25580000000002</v>
      </c>
      <c r="J37" s="35" t="s">
        <v>96</v>
      </c>
      <c r="K37" s="35"/>
      <c r="L37" s="35"/>
      <c r="M37" s="35"/>
      <c r="N37" s="35"/>
      <c r="O37" s="35"/>
      <c r="P37" s="35"/>
      <c r="R37" t="s">
        <v>92</v>
      </c>
      <c r="S37" s="27">
        <f>-2*(S35-S36)</f>
        <v>1351.9327999999998</v>
      </c>
    </row>
    <row r="38" spans="2:19" ht="20" x14ac:dyDescent="0.25">
      <c r="B38" t="s">
        <v>38</v>
      </c>
      <c r="C38" s="27">
        <f>_xlfn.CHISQ.INV(0.95,C36)</f>
        <v>9.4877290367811575</v>
      </c>
      <c r="D38" s="10" t="s">
        <v>7</v>
      </c>
      <c r="E38" s="19" t="str">
        <f>IF(C37&lt;C38,"H0 cannot be rejected","H0 rejected")</f>
        <v>H0 rejected</v>
      </c>
      <c r="F38" s="19"/>
      <c r="G38" s="19"/>
      <c r="H38" s="19"/>
      <c r="J38" s="20" t="s">
        <v>94</v>
      </c>
      <c r="K38" s="20"/>
      <c r="L38" s="20"/>
      <c r="M38" s="20"/>
      <c r="N38" s="20"/>
      <c r="O38" s="20"/>
      <c r="P38" s="20"/>
      <c r="R38" t="s">
        <v>43</v>
      </c>
      <c r="S38" s="27">
        <v>786.22929999999997</v>
      </c>
    </row>
    <row r="39" spans="2:19" x14ac:dyDescent="0.2">
      <c r="R39" t="s">
        <v>44</v>
      </c>
      <c r="S39" s="27">
        <v>857.21079999999995</v>
      </c>
    </row>
    <row r="40" spans="2:19" x14ac:dyDescent="0.2">
      <c r="J40" t="s">
        <v>36</v>
      </c>
      <c r="K40">
        <f>COUNTA(S12:S31)-COUNTA(K12:K27)</f>
        <v>4</v>
      </c>
    </row>
    <row r="41" spans="2:19" x14ac:dyDescent="0.2">
      <c r="J41" t="s">
        <v>37</v>
      </c>
      <c r="K41" s="27">
        <f>-2*(K32-S36)</f>
        <v>27.676199999999994</v>
      </c>
    </row>
    <row r="42" spans="2:19" ht="20" x14ac:dyDescent="0.25">
      <c r="J42" t="s">
        <v>38</v>
      </c>
      <c r="K42" s="27">
        <f>_xlfn.CHISQ.INV(0.95,K40)</f>
        <v>9.4877290367811575</v>
      </c>
      <c r="L42" s="10" t="s">
        <v>7</v>
      </c>
      <c r="M42" s="19" t="str">
        <f>IF(K41&lt;K42,"H0 cannot be rejected","H0 rejected")</f>
        <v>H0 rejected</v>
      </c>
      <c r="N42" s="19"/>
      <c r="O42" s="19"/>
      <c r="P42" s="19"/>
    </row>
  </sheetData>
  <mergeCells count="11">
    <mergeCell ref="R10:X10"/>
    <mergeCell ref="B10:H10"/>
    <mergeCell ref="J10:P10"/>
    <mergeCell ref="M42:P42"/>
    <mergeCell ref="R32:X32"/>
    <mergeCell ref="B24:H24"/>
    <mergeCell ref="J28:P28"/>
    <mergeCell ref="B33:H33"/>
    <mergeCell ref="J37:P37"/>
    <mergeCell ref="E38:H38"/>
    <mergeCell ref="J38:P38"/>
  </mergeCells>
  <conditionalFormatting sqref="E38:H38">
    <cfRule type="cellIs" dxfId="247" priority="3" operator="equal">
      <formula>"H0 cannot be rejected"</formula>
    </cfRule>
    <cfRule type="cellIs" dxfId="246" priority="4" operator="equal">
      <formula>"H0 rejected"</formula>
    </cfRule>
  </conditionalFormatting>
  <conditionalFormatting sqref="M42:P42">
    <cfRule type="cellIs" dxfId="245" priority="1" operator="equal">
      <formula>"H0 cannot be rejected"</formula>
    </cfRule>
    <cfRule type="cellIs" dxfId="244" priority="2" operator="equal">
      <formula>"H0 rejected"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8CC6-F1DA-234D-87C9-5E6EF495E11A}">
  <sheetPr>
    <tabColor rgb="FF92D050"/>
  </sheetPr>
  <dimension ref="B2:X42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  <col min="18" max="18" width="31.83203125" bestFit="1" customWidth="1"/>
    <col min="19" max="19" width="26" bestFit="1" customWidth="1"/>
    <col min="20" max="22" width="12.83203125" bestFit="1" customWidth="1"/>
    <col min="23" max="23" width="13.1640625" bestFit="1" customWidth="1"/>
    <col min="24" max="24" width="11.5" bestFit="1" customWidth="1"/>
    <col min="25" max="25" width="6.33203125" customWidth="1"/>
  </cols>
  <sheetData>
    <row r="2" spans="2:24" x14ac:dyDescent="0.2">
      <c r="B2" s="13" t="s">
        <v>10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2:24" x14ac:dyDescent="0.2">
      <c r="B4" s="12" t="s">
        <v>45</v>
      </c>
      <c r="C4" s="12" t="s">
        <v>46</v>
      </c>
      <c r="D4" s="2"/>
      <c r="E4" s="2"/>
      <c r="F4" s="2"/>
    </row>
    <row r="5" spans="2:24" x14ac:dyDescent="0.2">
      <c r="B5" s="5" t="s">
        <v>0</v>
      </c>
      <c r="C5" s="4" t="s">
        <v>5</v>
      </c>
      <c r="D5" s="2"/>
      <c r="E5" s="2"/>
      <c r="F5" s="2"/>
    </row>
    <row r="6" spans="2:24" x14ac:dyDescent="0.2">
      <c r="B6" s="5" t="s">
        <v>1</v>
      </c>
      <c r="C6" s="4" t="s">
        <v>5</v>
      </c>
      <c r="D6" s="2"/>
      <c r="E6" s="2"/>
      <c r="F6" s="2"/>
    </row>
    <row r="7" spans="2:24" x14ac:dyDescent="0.2">
      <c r="B7" s="5" t="s">
        <v>2</v>
      </c>
      <c r="C7" s="4" t="s">
        <v>5</v>
      </c>
      <c r="D7" s="2"/>
      <c r="E7" s="2"/>
      <c r="F7" s="2"/>
    </row>
    <row r="8" spans="2:24" x14ac:dyDescent="0.2">
      <c r="B8" s="5" t="s">
        <v>3</v>
      </c>
      <c r="C8" s="4" t="s">
        <v>6</v>
      </c>
      <c r="D8" s="2"/>
      <c r="E8" s="2"/>
      <c r="F8" s="2"/>
    </row>
    <row r="10" spans="2:24" x14ac:dyDescent="0.2">
      <c r="B10" s="18" t="s">
        <v>52</v>
      </c>
      <c r="C10" s="18"/>
      <c r="D10" s="18"/>
      <c r="E10" s="18"/>
      <c r="F10" s="18"/>
      <c r="G10" s="18"/>
      <c r="H10" s="18"/>
      <c r="J10" s="18" t="s">
        <v>51</v>
      </c>
      <c r="K10" s="18"/>
      <c r="L10" s="18"/>
      <c r="M10" s="18"/>
      <c r="N10" s="18"/>
      <c r="O10" s="18"/>
      <c r="P10" s="18"/>
      <c r="R10" s="18" t="s">
        <v>53</v>
      </c>
      <c r="S10" s="18"/>
      <c r="T10" s="18"/>
      <c r="U10" s="18"/>
      <c r="V10" s="18"/>
      <c r="W10" s="18"/>
      <c r="X10" s="18"/>
    </row>
    <row r="11" spans="2:24" x14ac:dyDescent="0.2">
      <c r="B11" s="6" t="s">
        <v>34</v>
      </c>
      <c r="C11" s="6" t="s">
        <v>22</v>
      </c>
      <c r="D11" s="8" t="s">
        <v>23</v>
      </c>
      <c r="E11" s="8" t="s">
        <v>24</v>
      </c>
      <c r="F11" s="8" t="s">
        <v>25</v>
      </c>
      <c r="G11" s="8" t="s">
        <v>26</v>
      </c>
      <c r="H11" s="6" t="s">
        <v>27</v>
      </c>
      <c r="J11" s="6" t="s">
        <v>34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R11" s="6" t="s">
        <v>34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</row>
    <row r="12" spans="2:24" x14ac:dyDescent="0.2">
      <c r="B12" s="5">
        <v>0</v>
      </c>
      <c r="C12" s="5" t="s">
        <v>32</v>
      </c>
      <c r="D12" s="23">
        <v>0.262033990222867</v>
      </c>
      <c r="E12" s="32">
        <v>0.46995069949336099</v>
      </c>
      <c r="F12" s="32">
        <v>0.55757761506761705</v>
      </c>
      <c r="G12" s="30">
        <v>0.57713284564063305</v>
      </c>
      <c r="H12" s="5" t="s">
        <v>29</v>
      </c>
      <c r="J12" s="5">
        <v>0</v>
      </c>
      <c r="K12" s="5" t="s">
        <v>32</v>
      </c>
      <c r="L12" s="23">
        <v>3.2454610963586901</v>
      </c>
      <c r="M12" s="32">
        <v>0.962396994074322</v>
      </c>
      <c r="N12" s="32">
        <v>3.3722685298703801</v>
      </c>
      <c r="O12" s="30">
        <v>7.4551722590099302E-4</v>
      </c>
      <c r="P12" s="5" t="s">
        <v>29</v>
      </c>
      <c r="R12" s="5">
        <v>0</v>
      </c>
      <c r="S12" s="5" t="s">
        <v>32</v>
      </c>
      <c r="T12" s="23">
        <v>2.9610235994138301</v>
      </c>
      <c r="U12" s="32">
        <v>0.89874221303086299</v>
      </c>
      <c r="V12" s="32">
        <v>3.2946306031717998</v>
      </c>
      <c r="W12" s="30">
        <v>9.8551136524305206E-4</v>
      </c>
      <c r="X12" s="5" t="s">
        <v>29</v>
      </c>
    </row>
    <row r="13" spans="2:24" x14ac:dyDescent="0.2">
      <c r="B13" s="5">
        <v>1</v>
      </c>
      <c r="C13" s="5" t="s">
        <v>55</v>
      </c>
      <c r="D13" s="21">
        <v>0</v>
      </c>
      <c r="E13" s="32">
        <v>0.24752100370045699</v>
      </c>
      <c r="F13" s="32">
        <v>0</v>
      </c>
      <c r="G13" s="30">
        <v>1</v>
      </c>
      <c r="H13" s="11" t="s">
        <v>30</v>
      </c>
      <c r="J13" s="5">
        <v>1</v>
      </c>
      <c r="K13" s="5" t="s">
        <v>72</v>
      </c>
      <c r="L13" s="23">
        <v>-0.55485227842311802</v>
      </c>
      <c r="M13" s="32">
        <v>0.48202549300915998</v>
      </c>
      <c r="N13" s="32">
        <v>-1.15108492490577</v>
      </c>
      <c r="O13" s="30">
        <v>0.249697299231842</v>
      </c>
      <c r="P13" s="5" t="s">
        <v>29</v>
      </c>
      <c r="R13" s="5">
        <v>1</v>
      </c>
      <c r="S13" s="5" t="s">
        <v>72</v>
      </c>
      <c r="T13" s="23">
        <v>-0.30607386294067701</v>
      </c>
      <c r="U13" s="32">
        <v>0.50812280608968696</v>
      </c>
      <c r="V13" s="32">
        <v>-0.60236198665456697</v>
      </c>
      <c r="W13" s="30">
        <v>0.546933207737757</v>
      </c>
      <c r="X13" s="5" t="s">
        <v>29</v>
      </c>
    </row>
    <row r="14" spans="2:24" x14ac:dyDescent="0.2">
      <c r="B14" s="5">
        <v>2</v>
      </c>
      <c r="C14" s="5" t="s">
        <v>56</v>
      </c>
      <c r="D14" s="23">
        <v>-0.15176143446895199</v>
      </c>
      <c r="E14" s="32">
        <v>0.13991736526437701</v>
      </c>
      <c r="F14" s="32">
        <v>-1.0846504590920101</v>
      </c>
      <c r="G14" s="30">
        <v>0.27807649744104801</v>
      </c>
      <c r="H14" s="5" t="s">
        <v>29</v>
      </c>
      <c r="J14" s="5">
        <v>2</v>
      </c>
      <c r="K14" s="5" t="s">
        <v>74</v>
      </c>
      <c r="L14" s="23">
        <v>-0.82305592354534596</v>
      </c>
      <c r="M14" s="32">
        <v>0.37105204968601102</v>
      </c>
      <c r="N14" s="32">
        <v>-2.2181683789156401</v>
      </c>
      <c r="O14" s="30">
        <v>2.6543353904503599E-2</v>
      </c>
      <c r="P14" s="5" t="s">
        <v>29</v>
      </c>
      <c r="R14" s="5">
        <v>2</v>
      </c>
      <c r="S14" s="5" t="s">
        <v>74</v>
      </c>
      <c r="T14" s="23">
        <v>-0.81557962262830996</v>
      </c>
      <c r="U14" s="32">
        <v>0.37833790931165101</v>
      </c>
      <c r="V14" s="32">
        <v>-2.1556909909244202</v>
      </c>
      <c r="W14" s="30">
        <v>3.1107802119020301E-2</v>
      </c>
      <c r="X14" s="5" t="s">
        <v>29</v>
      </c>
    </row>
    <row r="15" spans="2:24" x14ac:dyDescent="0.2">
      <c r="B15" s="5">
        <v>3</v>
      </c>
      <c r="C15" s="5" t="s">
        <v>57</v>
      </c>
      <c r="D15" s="23">
        <v>-0.31282878882736198</v>
      </c>
      <c r="E15" s="32">
        <v>0.15787943803542401</v>
      </c>
      <c r="F15" s="32">
        <v>-1.9814409825627299</v>
      </c>
      <c r="G15" s="30">
        <v>4.7541841651401198E-2</v>
      </c>
      <c r="H15" s="5" t="s">
        <v>29</v>
      </c>
      <c r="J15" s="5">
        <v>3</v>
      </c>
      <c r="K15" s="5" t="s">
        <v>76</v>
      </c>
      <c r="L15" s="21">
        <v>0</v>
      </c>
      <c r="M15" s="32">
        <v>3.9030672254938801</v>
      </c>
      <c r="N15" s="32">
        <v>0</v>
      </c>
      <c r="O15" s="30">
        <v>1</v>
      </c>
      <c r="P15" s="11" t="s">
        <v>30</v>
      </c>
      <c r="R15" s="5">
        <v>3</v>
      </c>
      <c r="S15" s="5" t="s">
        <v>76</v>
      </c>
      <c r="T15" s="21">
        <v>0</v>
      </c>
      <c r="U15" s="32">
        <v>4.0528411647740601</v>
      </c>
      <c r="V15" s="32">
        <v>0</v>
      </c>
      <c r="W15" s="30">
        <v>1</v>
      </c>
      <c r="X15" s="11" t="s">
        <v>30</v>
      </c>
    </row>
    <row r="16" spans="2:24" x14ac:dyDescent="0.2">
      <c r="B16" s="5">
        <v>4</v>
      </c>
      <c r="C16" s="5" t="s">
        <v>58</v>
      </c>
      <c r="D16" s="23">
        <v>-0.95606659270153604</v>
      </c>
      <c r="E16" s="32">
        <v>0.23593015596195399</v>
      </c>
      <c r="F16" s="32">
        <v>-4.0523289140524597</v>
      </c>
      <c r="G16" s="30">
        <v>5.0710304791312598E-5</v>
      </c>
      <c r="H16" s="5" t="s">
        <v>29</v>
      </c>
      <c r="J16" s="5">
        <v>4</v>
      </c>
      <c r="K16" s="5" t="s">
        <v>78</v>
      </c>
      <c r="L16" s="23">
        <v>-5.9232799601890402</v>
      </c>
      <c r="M16" s="32">
        <v>2.1476011234471302</v>
      </c>
      <c r="N16" s="32">
        <v>-2.7580912933596902</v>
      </c>
      <c r="O16" s="30">
        <v>5.8139958129788099E-3</v>
      </c>
      <c r="P16" s="5" t="s">
        <v>29</v>
      </c>
      <c r="R16" s="5">
        <v>4</v>
      </c>
      <c r="S16" s="5" t="s">
        <v>78</v>
      </c>
      <c r="T16" s="23">
        <v>-5.8662636732879401</v>
      </c>
      <c r="U16" s="32">
        <v>1.9361138527695501</v>
      </c>
      <c r="V16" s="32">
        <v>-3.0299166884718201</v>
      </c>
      <c r="W16" s="30">
        <v>2.4462120594752599E-3</v>
      </c>
      <c r="X16" s="5" t="s">
        <v>29</v>
      </c>
    </row>
    <row r="17" spans="2:24" x14ac:dyDescent="0.2">
      <c r="B17" s="5">
        <v>5</v>
      </c>
      <c r="C17" s="5" t="s">
        <v>33</v>
      </c>
      <c r="D17" s="23">
        <v>3.4752896368815098</v>
      </c>
      <c r="E17" s="32">
        <v>0.88800373151104495</v>
      </c>
      <c r="F17" s="32">
        <v>3.9135980104136299</v>
      </c>
      <c r="G17" s="30">
        <v>9.0930967522773106E-5</v>
      </c>
      <c r="H17" s="5" t="s">
        <v>29</v>
      </c>
      <c r="J17" s="5">
        <v>5</v>
      </c>
      <c r="K17" s="5" t="s">
        <v>33</v>
      </c>
      <c r="L17" s="23">
        <v>3.9376104871850601</v>
      </c>
      <c r="M17" s="32">
        <v>0.99183048663435602</v>
      </c>
      <c r="N17" s="32">
        <v>3.9700438131790201</v>
      </c>
      <c r="O17" s="30">
        <v>7.1859416685748898E-5</v>
      </c>
      <c r="P17" s="5" t="s">
        <v>29</v>
      </c>
      <c r="R17" s="5">
        <v>5</v>
      </c>
      <c r="S17" s="5" t="s">
        <v>33</v>
      </c>
      <c r="T17" s="23">
        <v>3.91264093797979</v>
      </c>
      <c r="U17" s="32">
        <v>1.06117426901295</v>
      </c>
      <c r="V17" s="32">
        <v>3.6870861386595002</v>
      </c>
      <c r="W17" s="30">
        <v>2.2683658966759999E-4</v>
      </c>
      <c r="X17" s="5" t="s">
        <v>29</v>
      </c>
    </row>
    <row r="18" spans="2:24" x14ac:dyDescent="0.2">
      <c r="B18" s="5">
        <v>6</v>
      </c>
      <c r="C18" s="5" t="s">
        <v>59</v>
      </c>
      <c r="D18" s="21">
        <v>0</v>
      </c>
      <c r="E18" s="32">
        <v>0.68239436278091203</v>
      </c>
      <c r="F18" s="32">
        <v>0</v>
      </c>
      <c r="G18" s="30">
        <v>1</v>
      </c>
      <c r="H18" s="11" t="s">
        <v>30</v>
      </c>
      <c r="J18" s="5">
        <v>6</v>
      </c>
      <c r="K18" s="5" t="s">
        <v>79</v>
      </c>
      <c r="L18" s="21">
        <v>0</v>
      </c>
      <c r="M18" s="32">
        <v>0.70476301636410499</v>
      </c>
      <c r="N18" s="32">
        <v>0</v>
      </c>
      <c r="O18" s="30">
        <v>1</v>
      </c>
      <c r="P18" s="11" t="s">
        <v>30</v>
      </c>
      <c r="R18" s="5">
        <v>6</v>
      </c>
      <c r="S18" s="5" t="s">
        <v>79</v>
      </c>
      <c r="T18" s="21">
        <v>0</v>
      </c>
      <c r="U18" s="32">
        <v>0.74316272253638205</v>
      </c>
      <c r="V18" s="32">
        <v>0</v>
      </c>
      <c r="W18" s="30">
        <v>1</v>
      </c>
      <c r="X18" s="11" t="s">
        <v>30</v>
      </c>
    </row>
    <row r="19" spans="2:24" x14ac:dyDescent="0.2">
      <c r="B19" s="5">
        <v>7</v>
      </c>
      <c r="C19" s="5" t="s">
        <v>60</v>
      </c>
      <c r="D19" s="23">
        <v>-0.74807778384345303</v>
      </c>
      <c r="E19" s="32">
        <v>0.30280938617563202</v>
      </c>
      <c r="F19" s="32">
        <v>-2.4704577136507901</v>
      </c>
      <c r="G19" s="30">
        <v>1.34940271599353E-2</v>
      </c>
      <c r="H19" s="5" t="s">
        <v>29</v>
      </c>
      <c r="J19" s="5">
        <v>7</v>
      </c>
      <c r="K19" s="5" t="s">
        <v>80</v>
      </c>
      <c r="L19" s="23">
        <v>-0.81691861462964899</v>
      </c>
      <c r="M19" s="32">
        <v>0.323914995042623</v>
      </c>
      <c r="N19" s="32">
        <v>-2.5220154272949</v>
      </c>
      <c r="O19" s="30">
        <v>1.16684590719287E-2</v>
      </c>
      <c r="P19" s="5" t="s">
        <v>29</v>
      </c>
      <c r="R19" s="5">
        <v>7</v>
      </c>
      <c r="S19" s="5" t="s">
        <v>80</v>
      </c>
      <c r="T19" s="23">
        <v>-0.82086173020610997</v>
      </c>
      <c r="U19" s="32">
        <v>0.32994320171448999</v>
      </c>
      <c r="V19" s="32">
        <v>-2.4878879938748502</v>
      </c>
      <c r="W19" s="30">
        <v>1.2850419711455299E-2</v>
      </c>
      <c r="X19" s="5" t="s">
        <v>29</v>
      </c>
    </row>
    <row r="20" spans="2:24" x14ac:dyDescent="0.2">
      <c r="B20" s="5">
        <v>8</v>
      </c>
      <c r="C20" s="5" t="s">
        <v>61</v>
      </c>
      <c r="D20" s="23">
        <v>-6.2274842385590299</v>
      </c>
      <c r="E20" s="32">
        <v>2.7137918200030202</v>
      </c>
      <c r="F20" s="32">
        <v>-2.2947538542407799</v>
      </c>
      <c r="G20" s="30">
        <v>2.1747234560730098E-2</v>
      </c>
      <c r="H20" s="5" t="s">
        <v>29</v>
      </c>
      <c r="J20" s="5">
        <v>8</v>
      </c>
      <c r="K20" s="5" t="s">
        <v>81</v>
      </c>
      <c r="L20" s="23">
        <v>-6.9724507503697497</v>
      </c>
      <c r="M20" s="32">
        <v>2.8683519198242999</v>
      </c>
      <c r="N20" s="32">
        <v>-2.4308212329806498</v>
      </c>
      <c r="O20" s="30">
        <v>1.50646453252387E-2</v>
      </c>
      <c r="P20" s="5" t="s">
        <v>29</v>
      </c>
      <c r="R20" s="5">
        <v>8</v>
      </c>
      <c r="S20" s="5" t="s">
        <v>81</v>
      </c>
      <c r="T20" s="23">
        <v>-6.7037982474650697</v>
      </c>
      <c r="U20" s="32">
        <v>2.78468544827646</v>
      </c>
      <c r="V20" s="32">
        <v>-2.4073807875191999</v>
      </c>
      <c r="W20" s="30">
        <v>1.6067406975589501E-2</v>
      </c>
      <c r="X20" s="5" t="s">
        <v>29</v>
      </c>
    </row>
    <row r="21" spans="2:24" x14ac:dyDescent="0.2">
      <c r="B21" s="5">
        <v>9</v>
      </c>
      <c r="C21" s="5" t="s">
        <v>62</v>
      </c>
      <c r="D21" s="23">
        <v>-8.5159640812344808</v>
      </c>
      <c r="E21" s="32">
        <v>2.03097133482142</v>
      </c>
      <c r="F21" s="32">
        <v>-4.1930498649717602</v>
      </c>
      <c r="G21" s="30">
        <v>2.75228913340086E-5</v>
      </c>
      <c r="H21" s="5" t="s">
        <v>29</v>
      </c>
      <c r="J21" s="5">
        <v>9</v>
      </c>
      <c r="K21" s="5" t="s">
        <v>82</v>
      </c>
      <c r="L21" s="23">
        <v>-9.5832660779148497</v>
      </c>
      <c r="M21" s="32">
        <v>2.1278674165701501</v>
      </c>
      <c r="N21" s="32">
        <v>-4.5036951096144104</v>
      </c>
      <c r="O21" s="30">
        <v>6.6781998204756798E-6</v>
      </c>
      <c r="P21" s="5" t="s">
        <v>29</v>
      </c>
      <c r="R21" s="5">
        <v>9</v>
      </c>
      <c r="S21" s="5" t="s">
        <v>82</v>
      </c>
      <c r="T21" s="23">
        <v>-9.6306159993715994</v>
      </c>
      <c r="U21" s="32">
        <v>2.2409256378653901</v>
      </c>
      <c r="V21" s="32">
        <v>-4.2976062376372699</v>
      </c>
      <c r="W21" s="30">
        <v>1.72652517227422E-5</v>
      </c>
      <c r="X21" s="5" t="s">
        <v>29</v>
      </c>
    </row>
    <row r="22" spans="2:24" x14ac:dyDescent="0.2">
      <c r="B22" s="5">
        <v>10</v>
      </c>
      <c r="C22" s="5" t="s">
        <v>28</v>
      </c>
      <c r="D22" s="23">
        <v>1.27547323546669</v>
      </c>
      <c r="E22" s="32">
        <v>0.50293860460023099</v>
      </c>
      <c r="F22" s="32">
        <v>2.5360416237694099</v>
      </c>
      <c r="G22" s="30">
        <v>1.12113407469556E-2</v>
      </c>
      <c r="H22" s="5" t="s">
        <v>29</v>
      </c>
      <c r="J22" s="5">
        <v>10</v>
      </c>
      <c r="K22" s="5" t="s">
        <v>28</v>
      </c>
      <c r="L22" s="23">
        <v>1.24872141059554</v>
      </c>
      <c r="M22" s="32">
        <v>0.62453010691366395</v>
      </c>
      <c r="N22" s="32">
        <v>1.9994575069671801</v>
      </c>
      <c r="O22" s="30">
        <v>4.5558875130257297E-2</v>
      </c>
      <c r="P22" s="5" t="s">
        <v>29</v>
      </c>
      <c r="R22" s="5">
        <v>10</v>
      </c>
      <c r="S22" s="5" t="s">
        <v>28</v>
      </c>
      <c r="T22" s="23">
        <v>1.680734804718</v>
      </c>
      <c r="U22" s="32">
        <v>0.71329525069525401</v>
      </c>
      <c r="V22" s="32">
        <v>2.3562960822741799</v>
      </c>
      <c r="W22" s="30">
        <v>1.8458198842979199E-2</v>
      </c>
      <c r="X22" s="5" t="s">
        <v>29</v>
      </c>
    </row>
    <row r="23" spans="2:24" x14ac:dyDescent="0.2">
      <c r="B23" s="12">
        <v>11</v>
      </c>
      <c r="C23" s="12" t="s">
        <v>31</v>
      </c>
      <c r="D23" s="33">
        <v>1.3382692737712301</v>
      </c>
      <c r="E23" s="34">
        <v>0.51672121566325901</v>
      </c>
      <c r="F23" s="34">
        <v>2.5899251534571599</v>
      </c>
      <c r="G23" s="31">
        <v>9.5996801271942492E-3</v>
      </c>
      <c r="H23" s="12" t="s">
        <v>29</v>
      </c>
      <c r="J23" s="5">
        <v>11</v>
      </c>
      <c r="K23" s="5" t="s">
        <v>63</v>
      </c>
      <c r="L23" s="21">
        <v>0</v>
      </c>
      <c r="M23" s="32">
        <v>0.31794094297394199</v>
      </c>
      <c r="N23" s="32">
        <v>0</v>
      </c>
      <c r="O23" s="30">
        <v>1</v>
      </c>
      <c r="P23" s="11" t="s">
        <v>30</v>
      </c>
      <c r="R23" s="5">
        <v>11</v>
      </c>
      <c r="S23" s="5" t="s">
        <v>64</v>
      </c>
      <c r="T23" s="21">
        <v>0</v>
      </c>
      <c r="U23" s="32">
        <v>0.41746201391236498</v>
      </c>
      <c r="V23" s="32">
        <v>0</v>
      </c>
      <c r="W23" s="30">
        <v>1</v>
      </c>
      <c r="X23" s="11" t="s">
        <v>30</v>
      </c>
    </row>
    <row r="24" spans="2:24" x14ac:dyDescent="0.2">
      <c r="B24" s="16" t="s">
        <v>35</v>
      </c>
      <c r="C24" s="16"/>
      <c r="D24" s="16"/>
      <c r="E24" s="16"/>
      <c r="F24" s="16"/>
      <c r="G24" s="16"/>
      <c r="H24" s="16"/>
      <c r="J24" s="5">
        <v>12</v>
      </c>
      <c r="K24" s="5" t="s">
        <v>65</v>
      </c>
      <c r="L24" s="23">
        <v>-0.14729805274822799</v>
      </c>
      <c r="M24" s="32">
        <v>0.19828845642301901</v>
      </c>
      <c r="N24" s="32">
        <v>-0.74284734172315903</v>
      </c>
      <c r="O24" s="30">
        <v>0.45757410961730299</v>
      </c>
      <c r="P24" s="5" t="s">
        <v>29</v>
      </c>
      <c r="R24" s="5">
        <v>12</v>
      </c>
      <c r="S24" s="5" t="s">
        <v>66</v>
      </c>
      <c r="T24" s="23">
        <v>-0.58342662791454303</v>
      </c>
      <c r="U24" s="32">
        <v>0.27638495129646401</v>
      </c>
      <c r="V24" s="32">
        <v>-2.1109203854182699</v>
      </c>
      <c r="W24" s="30">
        <v>3.4779155568558803E-2</v>
      </c>
      <c r="X24" s="5" t="s">
        <v>29</v>
      </c>
    </row>
    <row r="25" spans="2:24" x14ac:dyDescent="0.2">
      <c r="B25" t="s">
        <v>39</v>
      </c>
      <c r="C25">
        <v>12</v>
      </c>
      <c r="J25" s="5">
        <v>13</v>
      </c>
      <c r="K25" s="5" t="s">
        <v>67</v>
      </c>
      <c r="L25" s="23">
        <v>-0.33024993757837701</v>
      </c>
      <c r="M25" s="32">
        <v>0.17089604007824399</v>
      </c>
      <c r="N25" s="32">
        <v>-1.9324610296831499</v>
      </c>
      <c r="O25" s="30">
        <v>5.3302627588367603E-2</v>
      </c>
      <c r="P25" s="5" t="s">
        <v>29</v>
      </c>
      <c r="R25" s="5">
        <v>13</v>
      </c>
      <c r="S25" s="5" t="s">
        <v>68</v>
      </c>
      <c r="T25" s="21">
        <v>0</v>
      </c>
      <c r="U25" s="32">
        <v>0.57511918672891404</v>
      </c>
      <c r="V25" s="32">
        <v>0</v>
      </c>
      <c r="W25" s="30">
        <v>1</v>
      </c>
      <c r="X25" s="11" t="s">
        <v>30</v>
      </c>
    </row>
    <row r="26" spans="2:24" x14ac:dyDescent="0.2">
      <c r="B26" t="s">
        <v>40</v>
      </c>
      <c r="C26">
        <v>161</v>
      </c>
      <c r="J26" s="5">
        <v>14</v>
      </c>
      <c r="K26" s="5" t="s">
        <v>69</v>
      </c>
      <c r="L26" s="23">
        <v>-0.74808665713423905</v>
      </c>
      <c r="M26" s="32">
        <v>0.207507119403707</v>
      </c>
      <c r="N26" s="32">
        <v>-3.6051132090500899</v>
      </c>
      <c r="O26" s="30">
        <v>3.1201688369986098E-4</v>
      </c>
      <c r="P26" s="5" t="s">
        <v>29</v>
      </c>
      <c r="R26" s="5">
        <v>14</v>
      </c>
      <c r="S26" s="5" t="s">
        <v>70</v>
      </c>
      <c r="T26" s="23">
        <v>-1.0562492699712001</v>
      </c>
      <c r="U26" s="32">
        <v>0.29758119789756898</v>
      </c>
      <c r="V26" s="32">
        <v>-3.5494489485010399</v>
      </c>
      <c r="W26" s="30">
        <v>3.8603831006622699E-4</v>
      </c>
      <c r="X26" s="5" t="s">
        <v>29</v>
      </c>
    </row>
    <row r="27" spans="2:24" x14ac:dyDescent="0.2">
      <c r="B27" t="s">
        <v>41</v>
      </c>
      <c r="C27" s="27">
        <v>-685.67139999999995</v>
      </c>
      <c r="J27" s="12">
        <v>15</v>
      </c>
      <c r="K27" s="12" t="s">
        <v>31</v>
      </c>
      <c r="L27" s="33">
        <v>1.4724768023422701</v>
      </c>
      <c r="M27" s="34">
        <v>0.64081185851514</v>
      </c>
      <c r="N27" s="34">
        <v>2.2978301396516398</v>
      </c>
      <c r="O27" s="31">
        <v>2.1571458645076799E-2</v>
      </c>
      <c r="P27" s="12" t="s">
        <v>29</v>
      </c>
      <c r="R27" s="5">
        <v>15</v>
      </c>
      <c r="S27" s="5" t="s">
        <v>31</v>
      </c>
      <c r="T27" s="23">
        <v>1.10440516558085</v>
      </c>
      <c r="U27" s="32">
        <v>0.84971485045445705</v>
      </c>
      <c r="V27" s="32">
        <v>1.29973621737948</v>
      </c>
      <c r="W27" s="30">
        <v>0.193691392785769</v>
      </c>
      <c r="X27" s="5" t="s">
        <v>29</v>
      </c>
    </row>
    <row r="28" spans="2:24" x14ac:dyDescent="0.2">
      <c r="B28" t="s">
        <v>42</v>
      </c>
      <c r="C28" s="27">
        <v>-445.07040000000001</v>
      </c>
      <c r="J28" s="16" t="s">
        <v>35</v>
      </c>
      <c r="K28" s="16"/>
      <c r="L28" s="16"/>
      <c r="M28" s="16"/>
      <c r="N28" s="16"/>
      <c r="O28" s="16"/>
      <c r="P28" s="16"/>
      <c r="R28" s="5">
        <v>16</v>
      </c>
      <c r="S28" s="5" t="s">
        <v>71</v>
      </c>
      <c r="T28" s="21">
        <v>0</v>
      </c>
      <c r="U28" s="32">
        <v>0.52143144707549105</v>
      </c>
      <c r="V28" s="32">
        <v>0</v>
      </c>
      <c r="W28" s="30">
        <v>1</v>
      </c>
      <c r="X28" s="11" t="s">
        <v>30</v>
      </c>
    </row>
    <row r="29" spans="2:24" x14ac:dyDescent="0.2">
      <c r="B29" t="s">
        <v>92</v>
      </c>
      <c r="C29" s="27">
        <f>-2*(C27-C28)</f>
        <v>481.20199999999988</v>
      </c>
      <c r="J29" t="s">
        <v>39</v>
      </c>
      <c r="K29">
        <v>16</v>
      </c>
      <c r="L29" s="7"/>
      <c r="M29" s="7"/>
      <c r="N29" s="7"/>
      <c r="O29" s="7"/>
      <c r="R29" s="5">
        <v>17</v>
      </c>
      <c r="S29" s="5" t="s">
        <v>73</v>
      </c>
      <c r="T29" s="21">
        <v>0</v>
      </c>
      <c r="U29" s="32">
        <v>0.32165486533208298</v>
      </c>
      <c r="V29" s="32">
        <v>0</v>
      </c>
      <c r="W29" s="30">
        <v>1</v>
      </c>
      <c r="X29" s="11" t="s">
        <v>30</v>
      </c>
    </row>
    <row r="30" spans="2:24" x14ac:dyDescent="0.2">
      <c r="B30" t="s">
        <v>43</v>
      </c>
      <c r="C30" s="27">
        <v>914.14070000000004</v>
      </c>
      <c r="J30" t="s">
        <v>40</v>
      </c>
      <c r="K30">
        <v>161</v>
      </c>
      <c r="L30" s="7"/>
      <c r="M30" s="7"/>
      <c r="N30" s="7"/>
      <c r="O30" s="7"/>
      <c r="R30" s="5">
        <v>18</v>
      </c>
      <c r="S30" s="5" t="s">
        <v>75</v>
      </c>
      <c r="T30" s="23">
        <v>-0.46815626095785701</v>
      </c>
      <c r="U30" s="32">
        <v>0.23001366751874899</v>
      </c>
      <c r="V30" s="32">
        <v>-2.0353410560687499</v>
      </c>
      <c r="W30" s="30">
        <v>4.1816567812486799E-2</v>
      </c>
      <c r="X30" s="5" t="s">
        <v>29</v>
      </c>
    </row>
    <row r="31" spans="2:24" x14ac:dyDescent="0.2">
      <c r="B31" t="s">
        <v>44</v>
      </c>
      <c r="C31" s="27">
        <v>951.11760000000004</v>
      </c>
      <c r="J31" t="s">
        <v>41</v>
      </c>
      <c r="K31" s="27">
        <f>C27</f>
        <v>-685.67139999999995</v>
      </c>
      <c r="L31" s="7"/>
      <c r="M31" s="7"/>
      <c r="N31" s="7"/>
      <c r="O31" s="7"/>
      <c r="R31" s="5">
        <v>19</v>
      </c>
      <c r="S31" s="5" t="s">
        <v>77</v>
      </c>
      <c r="T31" s="23">
        <v>-0.39030501391111699</v>
      </c>
      <c r="U31" s="32">
        <v>0.262282090152263</v>
      </c>
      <c r="V31" s="32">
        <v>-1.48811157362872</v>
      </c>
      <c r="W31" s="30">
        <v>0.136721471759951</v>
      </c>
      <c r="X31" s="5" t="s">
        <v>29</v>
      </c>
    </row>
    <row r="32" spans="2:24" x14ac:dyDescent="0.2">
      <c r="J32" t="s">
        <v>42</v>
      </c>
      <c r="K32" s="27">
        <v>-395.67689999999999</v>
      </c>
      <c r="L32" s="7"/>
      <c r="M32" s="7"/>
      <c r="N32" s="7"/>
      <c r="O32" s="7"/>
      <c r="R32" s="16" t="s">
        <v>35</v>
      </c>
      <c r="S32" s="16"/>
      <c r="T32" s="16"/>
      <c r="U32" s="16"/>
      <c r="V32" s="16"/>
      <c r="W32" s="16"/>
      <c r="X32" s="16"/>
    </row>
    <row r="33" spans="2:19" x14ac:dyDescent="0.2">
      <c r="B33" s="35" t="s">
        <v>95</v>
      </c>
      <c r="C33" s="35"/>
      <c r="D33" s="35"/>
      <c r="E33" s="35"/>
      <c r="F33" s="35"/>
      <c r="G33" s="35"/>
      <c r="H33" s="35"/>
      <c r="J33" t="s">
        <v>92</v>
      </c>
      <c r="K33" s="27">
        <f>-2*(K31-K32)</f>
        <v>579.98899999999992</v>
      </c>
      <c r="L33" s="7"/>
      <c r="M33" s="7"/>
      <c r="N33" s="7"/>
      <c r="O33" s="7"/>
      <c r="R33" t="s">
        <v>39</v>
      </c>
      <c r="S33">
        <v>20</v>
      </c>
    </row>
    <row r="34" spans="2:19" x14ac:dyDescent="0.2">
      <c r="B34" s="1" t="s">
        <v>93</v>
      </c>
      <c r="C34" s="1"/>
      <c r="D34" s="1"/>
      <c r="E34" s="1"/>
      <c r="F34" s="1"/>
      <c r="G34" s="1"/>
      <c r="H34" s="1"/>
      <c r="J34" t="s">
        <v>43</v>
      </c>
      <c r="K34" s="27">
        <v>823.35389999999995</v>
      </c>
      <c r="R34" t="s">
        <v>40</v>
      </c>
      <c r="S34">
        <v>161</v>
      </c>
    </row>
    <row r="35" spans="2:19" x14ac:dyDescent="0.2">
      <c r="J35" t="s">
        <v>44</v>
      </c>
      <c r="K35" s="27">
        <v>872.65629999999999</v>
      </c>
      <c r="R35" t="s">
        <v>41</v>
      </c>
      <c r="S35" s="27">
        <f>K31</f>
        <v>-685.67139999999995</v>
      </c>
    </row>
    <row r="36" spans="2:19" x14ac:dyDescent="0.2">
      <c r="B36" t="s">
        <v>36</v>
      </c>
      <c r="C36">
        <f>K29-C25</f>
        <v>4</v>
      </c>
      <c r="R36" t="s">
        <v>42</v>
      </c>
      <c r="S36" s="27">
        <v>-377.0591</v>
      </c>
    </row>
    <row r="37" spans="2:19" x14ac:dyDescent="0.2">
      <c r="B37" t="s">
        <v>37</v>
      </c>
      <c r="C37" s="27">
        <f>-2*(C28-K32)</f>
        <v>98.787000000000035</v>
      </c>
      <c r="J37" s="35" t="s">
        <v>96</v>
      </c>
      <c r="K37" s="35"/>
      <c r="L37" s="35"/>
      <c r="M37" s="35"/>
      <c r="N37" s="35"/>
      <c r="O37" s="35"/>
      <c r="P37" s="35"/>
      <c r="R37" t="s">
        <v>92</v>
      </c>
      <c r="S37" s="27">
        <f>-2*(S35-S36)</f>
        <v>617.2245999999999</v>
      </c>
    </row>
    <row r="38" spans="2:19" ht="20" x14ac:dyDescent="0.25">
      <c r="B38" t="s">
        <v>38</v>
      </c>
      <c r="C38" s="27">
        <f>_xlfn.CHISQ.INV(0.95,C36)</f>
        <v>9.4877290367811575</v>
      </c>
      <c r="D38" s="10" t="s">
        <v>7</v>
      </c>
      <c r="E38" s="19" t="str">
        <f>IF(C37&lt;C38,"H0 cannot be rejected","H0 rejected")</f>
        <v>H0 rejected</v>
      </c>
      <c r="F38" s="19"/>
      <c r="G38" s="19"/>
      <c r="H38" s="19"/>
      <c r="J38" s="20" t="s">
        <v>94</v>
      </c>
      <c r="K38" s="20"/>
      <c r="L38" s="20"/>
      <c r="M38" s="20"/>
      <c r="N38" s="20"/>
      <c r="O38" s="20"/>
      <c r="P38" s="20"/>
      <c r="R38" t="s">
        <v>43</v>
      </c>
      <c r="S38" s="27">
        <v>794.11829999999998</v>
      </c>
    </row>
    <row r="39" spans="2:19" x14ac:dyDescent="0.2">
      <c r="R39" t="s">
        <v>44</v>
      </c>
      <c r="S39" s="27">
        <v>855.74630000000002</v>
      </c>
    </row>
    <row r="40" spans="2:19" x14ac:dyDescent="0.2">
      <c r="J40" t="s">
        <v>36</v>
      </c>
      <c r="K40">
        <f>COUNTA(S12:S31)-COUNTA(K12:K27)</f>
        <v>4</v>
      </c>
    </row>
    <row r="41" spans="2:19" x14ac:dyDescent="0.2">
      <c r="J41" t="s">
        <v>37</v>
      </c>
      <c r="K41" s="27">
        <f>-2*(K32-S36)</f>
        <v>37.235599999999977</v>
      </c>
    </row>
    <row r="42" spans="2:19" ht="20" x14ac:dyDescent="0.25">
      <c r="J42" t="s">
        <v>38</v>
      </c>
      <c r="K42" s="27">
        <f>_xlfn.CHISQ.INV(0.95,K40)</f>
        <v>9.4877290367811575</v>
      </c>
      <c r="L42" s="10" t="s">
        <v>7</v>
      </c>
      <c r="M42" s="19" t="str">
        <f>IF(K41&lt;K42,"H0 cannot be rejected","H0 rejected")</f>
        <v>H0 rejected</v>
      </c>
      <c r="N42" s="19"/>
      <c r="O42" s="19"/>
      <c r="P42" s="19"/>
    </row>
  </sheetData>
  <mergeCells count="11">
    <mergeCell ref="R10:X10"/>
    <mergeCell ref="B10:H10"/>
    <mergeCell ref="J10:P10"/>
    <mergeCell ref="M42:P42"/>
    <mergeCell ref="R32:X32"/>
    <mergeCell ref="B24:H24"/>
    <mergeCell ref="J28:P28"/>
    <mergeCell ref="B33:H33"/>
    <mergeCell ref="J37:P37"/>
    <mergeCell ref="E38:H38"/>
    <mergeCell ref="J38:P38"/>
  </mergeCells>
  <conditionalFormatting sqref="E38:H38">
    <cfRule type="cellIs" dxfId="243" priority="3" operator="equal">
      <formula>"H0 cannot be rejected"</formula>
    </cfRule>
    <cfRule type="cellIs" dxfId="242" priority="4" operator="equal">
      <formula>"H0 rejected"</formula>
    </cfRule>
  </conditionalFormatting>
  <conditionalFormatting sqref="M42:P42">
    <cfRule type="cellIs" dxfId="241" priority="1" operator="equal">
      <formula>"H0 cannot be rejected"</formula>
    </cfRule>
    <cfRule type="cellIs" dxfId="240" priority="2" operator="equal">
      <formula>"H0 rejected"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168E-FA00-4840-95D5-B56AEA6F1738}">
  <sheetPr>
    <tabColor rgb="FF92D050"/>
  </sheetPr>
  <dimension ref="B2:P39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</cols>
  <sheetData>
    <row r="2" spans="2:16" x14ac:dyDescent="0.2">
      <c r="B2" s="13" t="s">
        <v>12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2:16" x14ac:dyDescent="0.2">
      <c r="B4" s="12" t="s">
        <v>45</v>
      </c>
      <c r="C4" s="12" t="s">
        <v>46</v>
      </c>
      <c r="D4" s="2"/>
      <c r="E4" s="2"/>
      <c r="F4" s="2"/>
    </row>
    <row r="5" spans="2:16" x14ac:dyDescent="0.2">
      <c r="B5" s="5" t="s">
        <v>0</v>
      </c>
      <c r="C5" s="4" t="s">
        <v>5</v>
      </c>
      <c r="D5" s="2"/>
      <c r="E5" s="2"/>
      <c r="F5" s="2"/>
    </row>
    <row r="6" spans="2:16" x14ac:dyDescent="0.2">
      <c r="B6" s="5" t="s">
        <v>2</v>
      </c>
      <c r="C6" s="4" t="s">
        <v>5</v>
      </c>
      <c r="D6" s="2"/>
      <c r="E6" s="2"/>
      <c r="F6" s="2"/>
    </row>
    <row r="7" spans="2:16" x14ac:dyDescent="0.2">
      <c r="B7" s="5" t="s">
        <v>11</v>
      </c>
      <c r="C7" s="4" t="s">
        <v>6</v>
      </c>
      <c r="D7" s="2"/>
      <c r="E7" s="2"/>
      <c r="F7" s="2"/>
    </row>
    <row r="8" spans="2:16" x14ac:dyDescent="0.2">
      <c r="B8" s="5" t="s">
        <v>3</v>
      </c>
      <c r="C8" s="4" t="s">
        <v>6</v>
      </c>
      <c r="D8" s="2"/>
      <c r="E8" s="2"/>
      <c r="F8" s="2"/>
    </row>
    <row r="10" spans="2:16" x14ac:dyDescent="0.2">
      <c r="B10" s="18" t="s">
        <v>52</v>
      </c>
      <c r="C10" s="18"/>
      <c r="D10" s="18"/>
      <c r="E10" s="18"/>
      <c r="F10" s="18"/>
      <c r="G10" s="18"/>
      <c r="H10" s="18"/>
      <c r="J10" s="18" t="s">
        <v>53</v>
      </c>
      <c r="K10" s="18"/>
      <c r="L10" s="18"/>
      <c r="M10" s="18"/>
      <c r="N10" s="18"/>
      <c r="O10" s="18"/>
      <c r="P10" s="18"/>
    </row>
    <row r="11" spans="2:16" x14ac:dyDescent="0.2">
      <c r="B11" s="6" t="s">
        <v>34</v>
      </c>
      <c r="C11" s="6" t="s">
        <v>22</v>
      </c>
      <c r="D11" s="8" t="s">
        <v>23</v>
      </c>
      <c r="E11" s="8" t="s">
        <v>24</v>
      </c>
      <c r="F11" s="8" t="s">
        <v>25</v>
      </c>
      <c r="G11" s="8" t="s">
        <v>26</v>
      </c>
      <c r="H11" s="6" t="s">
        <v>27</v>
      </c>
      <c r="J11" s="6" t="s">
        <v>34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</row>
    <row r="12" spans="2:16" x14ac:dyDescent="0.2">
      <c r="B12" s="5">
        <v>0</v>
      </c>
      <c r="C12" s="5" t="s">
        <v>28</v>
      </c>
      <c r="D12" s="21">
        <v>0</v>
      </c>
      <c r="E12" s="32">
        <v>0.86959278573556298</v>
      </c>
      <c r="F12" s="32">
        <v>0</v>
      </c>
      <c r="G12" s="30">
        <v>1</v>
      </c>
      <c r="H12" s="11" t="s">
        <v>30</v>
      </c>
      <c r="J12" s="5">
        <v>0</v>
      </c>
      <c r="K12" s="5" t="s">
        <v>28</v>
      </c>
      <c r="L12" s="23">
        <v>2.2963612140715499</v>
      </c>
      <c r="M12" s="32">
        <v>0.94579561448792604</v>
      </c>
      <c r="N12" s="32">
        <v>2.4279677119404401</v>
      </c>
      <c r="O12" s="30">
        <v>1.5183694962082399E-2</v>
      </c>
      <c r="P12" s="5" t="s">
        <v>29</v>
      </c>
    </row>
    <row r="13" spans="2:16" x14ac:dyDescent="0.2">
      <c r="B13" s="5">
        <v>1</v>
      </c>
      <c r="C13" s="5" t="s">
        <v>55</v>
      </c>
      <c r="D13" s="21">
        <v>0</v>
      </c>
      <c r="E13" s="32">
        <v>0.28630943222648497</v>
      </c>
      <c r="F13" s="32">
        <v>0</v>
      </c>
      <c r="G13" s="30">
        <v>1</v>
      </c>
      <c r="H13" s="11" t="s">
        <v>30</v>
      </c>
      <c r="J13" s="5">
        <v>1</v>
      </c>
      <c r="K13" s="5" t="s">
        <v>64</v>
      </c>
      <c r="L13" s="23">
        <v>-1.74016984252698</v>
      </c>
      <c r="M13" s="32">
        <v>0.36939816261990099</v>
      </c>
      <c r="N13" s="32">
        <v>-4.7108243045528102</v>
      </c>
      <c r="O13" s="30">
        <v>2.4671686329469299E-6</v>
      </c>
      <c r="P13" s="5" t="s">
        <v>29</v>
      </c>
    </row>
    <row r="14" spans="2:16" x14ac:dyDescent="0.2">
      <c r="B14" s="5">
        <v>2</v>
      </c>
      <c r="C14" s="5" t="s">
        <v>56</v>
      </c>
      <c r="D14" s="21">
        <v>0</v>
      </c>
      <c r="E14" s="32">
        <v>0.18646991072209401</v>
      </c>
      <c r="F14" s="32">
        <v>0</v>
      </c>
      <c r="G14" s="30">
        <v>1</v>
      </c>
      <c r="H14" s="11" t="s">
        <v>30</v>
      </c>
      <c r="J14" s="5">
        <v>2</v>
      </c>
      <c r="K14" s="5" t="s">
        <v>66</v>
      </c>
      <c r="L14" s="23">
        <v>-2.0128973543227699</v>
      </c>
      <c r="M14" s="32">
        <v>0.48791392804204797</v>
      </c>
      <c r="N14" s="32">
        <v>-4.1255173067109103</v>
      </c>
      <c r="O14" s="30">
        <v>3.6990236310430103E-5</v>
      </c>
      <c r="P14" s="5" t="s">
        <v>29</v>
      </c>
    </row>
    <row r="15" spans="2:16" x14ac:dyDescent="0.2">
      <c r="B15" s="5">
        <v>3</v>
      </c>
      <c r="C15" s="5" t="s">
        <v>57</v>
      </c>
      <c r="D15" s="21">
        <v>0</v>
      </c>
      <c r="E15" s="32">
        <v>0.441441505834689</v>
      </c>
      <c r="F15" s="32">
        <v>0</v>
      </c>
      <c r="G15" s="30">
        <v>1</v>
      </c>
      <c r="H15" s="11" t="s">
        <v>30</v>
      </c>
      <c r="J15" s="5">
        <v>3</v>
      </c>
      <c r="K15" s="5" t="s">
        <v>68</v>
      </c>
      <c r="L15" s="21">
        <v>0</v>
      </c>
      <c r="M15" s="32">
        <v>0.355830356819058</v>
      </c>
      <c r="N15" s="32">
        <v>0</v>
      </c>
      <c r="O15" s="30">
        <v>1</v>
      </c>
      <c r="P15" s="11" t="s">
        <v>30</v>
      </c>
    </row>
    <row r="16" spans="2:16" x14ac:dyDescent="0.2">
      <c r="B16" s="5">
        <v>4</v>
      </c>
      <c r="C16" s="5" t="s">
        <v>58</v>
      </c>
      <c r="D16" s="23">
        <v>-0.99268105434093001</v>
      </c>
      <c r="E16" s="32">
        <v>0.18235367003816599</v>
      </c>
      <c r="F16" s="32">
        <v>-5.4437130556964499</v>
      </c>
      <c r="G16" s="30">
        <v>5.2181253762384399E-8</v>
      </c>
      <c r="H16" s="5" t="s">
        <v>29</v>
      </c>
      <c r="J16" s="5">
        <v>4</v>
      </c>
      <c r="K16" s="5" t="s">
        <v>70</v>
      </c>
      <c r="L16" s="23">
        <v>-0.431807183184031</v>
      </c>
      <c r="M16" s="32">
        <v>0.42696547244612099</v>
      </c>
      <c r="N16" s="32">
        <v>-1.0113398179721</v>
      </c>
      <c r="O16" s="30">
        <v>0.31185381462788397</v>
      </c>
      <c r="P16" s="5" t="s">
        <v>29</v>
      </c>
    </row>
    <row r="17" spans="2:16" x14ac:dyDescent="0.2">
      <c r="B17" s="5">
        <v>5</v>
      </c>
      <c r="C17" s="5" t="s">
        <v>32</v>
      </c>
      <c r="D17" s="23">
        <v>2.7214325791027099</v>
      </c>
      <c r="E17" s="32">
        <v>0.57761950819574104</v>
      </c>
      <c r="F17" s="32">
        <v>4.7114623735673504</v>
      </c>
      <c r="G17" s="30">
        <v>2.45945511045952E-6</v>
      </c>
      <c r="H17" s="5" t="s">
        <v>29</v>
      </c>
      <c r="J17" s="5">
        <v>5</v>
      </c>
      <c r="K17" s="5" t="s">
        <v>32</v>
      </c>
      <c r="L17" s="23">
        <v>2.4289487809137298</v>
      </c>
      <c r="M17" s="32">
        <v>0.60528421782433495</v>
      </c>
      <c r="N17" s="32">
        <v>4.0129061842128797</v>
      </c>
      <c r="O17" s="30">
        <v>5.9975754190810797E-5</v>
      </c>
      <c r="P17" s="5" t="s">
        <v>29</v>
      </c>
    </row>
    <row r="18" spans="2:16" x14ac:dyDescent="0.2">
      <c r="B18" s="5">
        <v>6</v>
      </c>
      <c r="C18" s="5" t="s">
        <v>33</v>
      </c>
      <c r="D18" s="23">
        <v>0.91273924668347906</v>
      </c>
      <c r="E18" s="32">
        <v>0.56130963236109399</v>
      </c>
      <c r="F18" s="32">
        <v>1.62608869340818</v>
      </c>
      <c r="G18" s="30">
        <v>0.103930788931396</v>
      </c>
      <c r="H18" s="5" t="s">
        <v>29</v>
      </c>
      <c r="J18" s="5">
        <v>6</v>
      </c>
      <c r="K18" s="5" t="s">
        <v>72</v>
      </c>
      <c r="L18" s="21">
        <v>0</v>
      </c>
      <c r="M18" s="32">
        <v>0.54259631628726201</v>
      </c>
      <c r="N18" s="32">
        <v>0</v>
      </c>
      <c r="O18" s="30">
        <v>1</v>
      </c>
      <c r="P18" s="11" t="s">
        <v>30</v>
      </c>
    </row>
    <row r="19" spans="2:16" x14ac:dyDescent="0.2">
      <c r="B19" s="5">
        <v>7</v>
      </c>
      <c r="C19" s="5" t="s">
        <v>59</v>
      </c>
      <c r="D19" s="21">
        <v>0</v>
      </c>
      <c r="E19" s="32">
        <v>0.32065276904191797</v>
      </c>
      <c r="F19" s="32">
        <v>0</v>
      </c>
      <c r="G19" s="30">
        <v>1</v>
      </c>
      <c r="H19" s="11" t="s">
        <v>30</v>
      </c>
      <c r="J19" s="5">
        <v>7</v>
      </c>
      <c r="K19" s="5" t="s">
        <v>74</v>
      </c>
      <c r="L19" s="21">
        <v>0</v>
      </c>
      <c r="M19" s="32">
        <v>0.25770369003096799</v>
      </c>
      <c r="N19" s="32">
        <v>0</v>
      </c>
      <c r="O19" s="30">
        <v>1</v>
      </c>
      <c r="P19" s="11" t="s">
        <v>30</v>
      </c>
    </row>
    <row r="20" spans="2:16" x14ac:dyDescent="0.2">
      <c r="B20" s="5">
        <v>8</v>
      </c>
      <c r="C20" s="5" t="s">
        <v>60</v>
      </c>
      <c r="D20" s="21">
        <v>0</v>
      </c>
      <c r="E20" s="32">
        <v>0.200338116263404</v>
      </c>
      <c r="F20" s="32">
        <v>0</v>
      </c>
      <c r="G20" s="30">
        <v>1</v>
      </c>
      <c r="H20" s="11" t="s">
        <v>30</v>
      </c>
      <c r="J20" s="5">
        <v>8</v>
      </c>
      <c r="K20" s="5" t="s">
        <v>76</v>
      </c>
      <c r="L20" s="21">
        <v>0</v>
      </c>
      <c r="M20" s="32">
        <v>1.29636315088498</v>
      </c>
      <c r="N20" s="32">
        <v>0</v>
      </c>
      <c r="O20" s="30">
        <v>1</v>
      </c>
      <c r="P20" s="11" t="s">
        <v>30</v>
      </c>
    </row>
    <row r="21" spans="2:16" x14ac:dyDescent="0.2">
      <c r="B21" s="5">
        <v>9</v>
      </c>
      <c r="C21" s="5" t="s">
        <v>61</v>
      </c>
      <c r="D21" s="23">
        <v>-1.16315693312718</v>
      </c>
      <c r="E21" s="32">
        <v>0.473928129919654</v>
      </c>
      <c r="F21" s="32">
        <v>-2.4542897112361199</v>
      </c>
      <c r="G21" s="30">
        <v>1.41163201662299E-2</v>
      </c>
      <c r="H21" s="5" t="s">
        <v>29</v>
      </c>
      <c r="J21" s="5">
        <v>9</v>
      </c>
      <c r="K21" s="5" t="s">
        <v>78</v>
      </c>
      <c r="L21" s="23">
        <v>-1.1011289833175</v>
      </c>
      <c r="M21" s="32">
        <v>0.20685060835095401</v>
      </c>
      <c r="N21" s="32">
        <v>-5.32330551065757</v>
      </c>
      <c r="O21" s="30">
        <v>1.01898392168564E-7</v>
      </c>
      <c r="P21" s="5" t="s">
        <v>29</v>
      </c>
    </row>
    <row r="22" spans="2:16" x14ac:dyDescent="0.2">
      <c r="B22" s="5">
        <v>10</v>
      </c>
      <c r="C22" s="5" t="s">
        <v>62</v>
      </c>
      <c r="D22" s="23">
        <v>-1.08151920362012</v>
      </c>
      <c r="E22" s="32">
        <v>0.213136332221837</v>
      </c>
      <c r="F22" s="32">
        <v>-5.07430709886878</v>
      </c>
      <c r="G22" s="30">
        <v>3.8891053177891803E-7</v>
      </c>
      <c r="H22" s="5" t="s">
        <v>29</v>
      </c>
      <c r="J22" s="5">
        <v>10</v>
      </c>
      <c r="K22" s="5" t="s">
        <v>33</v>
      </c>
      <c r="L22" s="23">
        <v>4.9754878993760299E-2</v>
      </c>
      <c r="M22" s="32">
        <v>0.61888105861056397</v>
      </c>
      <c r="N22" s="32">
        <v>8.0394897050919498E-2</v>
      </c>
      <c r="O22" s="30">
        <v>0.93592318533293195</v>
      </c>
      <c r="P22" s="5" t="s">
        <v>29</v>
      </c>
    </row>
    <row r="23" spans="2:16" x14ac:dyDescent="0.2">
      <c r="B23" s="12">
        <v>11</v>
      </c>
      <c r="C23" s="12" t="s">
        <v>47</v>
      </c>
      <c r="D23" s="33">
        <v>0.55514035564694797</v>
      </c>
      <c r="E23" s="34">
        <v>0.63083446918088104</v>
      </c>
      <c r="F23" s="34">
        <v>0.88000954730292602</v>
      </c>
      <c r="G23" s="31">
        <v>0.37885413753436997</v>
      </c>
      <c r="H23" s="12" t="s">
        <v>29</v>
      </c>
      <c r="J23" s="5">
        <v>11</v>
      </c>
      <c r="K23" s="5" t="s">
        <v>79</v>
      </c>
      <c r="L23" s="21">
        <v>0</v>
      </c>
      <c r="M23" s="32">
        <v>0.35425149892831698</v>
      </c>
      <c r="N23" s="32">
        <v>0</v>
      </c>
      <c r="O23" s="30">
        <v>1</v>
      </c>
      <c r="P23" s="11" t="s">
        <v>30</v>
      </c>
    </row>
    <row r="24" spans="2:16" x14ac:dyDescent="0.2">
      <c r="B24" s="16" t="s">
        <v>35</v>
      </c>
      <c r="C24" s="16"/>
      <c r="D24" s="16"/>
      <c r="E24" s="16"/>
      <c r="F24" s="16"/>
      <c r="G24" s="16"/>
      <c r="H24" s="16"/>
      <c r="J24" s="5">
        <v>12</v>
      </c>
      <c r="K24" s="5" t="s">
        <v>80</v>
      </c>
      <c r="L24" s="21">
        <v>0</v>
      </c>
      <c r="M24" s="32">
        <v>0.27057957417451101</v>
      </c>
      <c r="N24" s="32">
        <v>0</v>
      </c>
      <c r="O24" s="30">
        <v>1</v>
      </c>
      <c r="P24" s="11" t="s">
        <v>30</v>
      </c>
    </row>
    <row r="25" spans="2:16" x14ac:dyDescent="0.2">
      <c r="B25" t="s">
        <v>39</v>
      </c>
      <c r="C25">
        <v>12</v>
      </c>
      <c r="J25" s="5">
        <v>13</v>
      </c>
      <c r="K25" s="5" t="s">
        <v>81</v>
      </c>
      <c r="L25" s="23">
        <v>-0.18874059940419</v>
      </c>
      <c r="M25" s="32">
        <v>0.57229894987536101</v>
      </c>
      <c r="N25" s="32">
        <v>-0.32979371960283199</v>
      </c>
      <c r="O25" s="30">
        <v>0.74155583317000495</v>
      </c>
      <c r="P25" s="5" t="s">
        <v>29</v>
      </c>
    </row>
    <row r="26" spans="2:16" x14ac:dyDescent="0.2">
      <c r="B26" t="s">
        <v>40</v>
      </c>
      <c r="C26">
        <v>172</v>
      </c>
      <c r="J26" s="5">
        <v>14</v>
      </c>
      <c r="K26" s="5" t="s">
        <v>82</v>
      </c>
      <c r="L26" s="23">
        <v>-0.78079509766133104</v>
      </c>
      <c r="M26" s="32">
        <v>0.21366077108878201</v>
      </c>
      <c r="N26" s="32">
        <v>-3.65436806055936</v>
      </c>
      <c r="O26" s="30">
        <v>2.5781620054776602E-4</v>
      </c>
      <c r="P26" s="5" t="s">
        <v>29</v>
      </c>
    </row>
    <row r="27" spans="2:16" x14ac:dyDescent="0.2">
      <c r="B27" t="s">
        <v>41</v>
      </c>
      <c r="C27" s="27">
        <v>-705.00120000000004</v>
      </c>
      <c r="J27" s="5">
        <v>15</v>
      </c>
      <c r="K27" s="5" t="s">
        <v>47</v>
      </c>
      <c r="L27" s="23">
        <v>1.5556535935328599</v>
      </c>
      <c r="M27" s="32">
        <v>0.89670781659746102</v>
      </c>
      <c r="N27" s="32">
        <v>1.73485004227548</v>
      </c>
      <c r="O27" s="30">
        <v>8.2767369814281205E-2</v>
      </c>
      <c r="P27" s="5" t="s">
        <v>29</v>
      </c>
    </row>
    <row r="28" spans="2:16" x14ac:dyDescent="0.2">
      <c r="B28" t="s">
        <v>42</v>
      </c>
      <c r="C28" s="27">
        <v>-507.40309999999999</v>
      </c>
      <c r="J28" s="5">
        <v>16</v>
      </c>
      <c r="K28" s="5" t="s">
        <v>83</v>
      </c>
      <c r="L28" s="21">
        <v>0</v>
      </c>
      <c r="M28" s="32">
        <v>0.57788358778516502</v>
      </c>
      <c r="N28" s="32">
        <v>0</v>
      </c>
      <c r="O28" s="30">
        <v>1</v>
      </c>
      <c r="P28" s="11" t="s">
        <v>30</v>
      </c>
    </row>
    <row r="29" spans="2:16" x14ac:dyDescent="0.2">
      <c r="B29" t="s">
        <v>92</v>
      </c>
      <c r="C29" s="27">
        <f>-2*(C27-C28)</f>
        <v>395.19620000000009</v>
      </c>
      <c r="J29" s="5">
        <v>17</v>
      </c>
      <c r="K29" s="5" t="s">
        <v>84</v>
      </c>
      <c r="L29" s="23">
        <v>-0.17513046718648201</v>
      </c>
      <c r="M29" s="32">
        <v>0.38431355451509402</v>
      </c>
      <c r="N29" s="32">
        <v>-0.455696826533877</v>
      </c>
      <c r="O29" s="30">
        <v>0.64860800434011601</v>
      </c>
      <c r="P29" s="5" t="s">
        <v>29</v>
      </c>
    </row>
    <row r="30" spans="2:16" x14ac:dyDescent="0.2">
      <c r="B30" t="s">
        <v>43</v>
      </c>
      <c r="C30" s="27">
        <v>1038.806</v>
      </c>
      <c r="J30" s="5">
        <v>18</v>
      </c>
      <c r="K30" s="5" t="s">
        <v>85</v>
      </c>
      <c r="L30" s="23">
        <v>-2.8116643846673002</v>
      </c>
      <c r="M30" s="32">
        <v>1.0695317550789001</v>
      </c>
      <c r="N30" s="32">
        <v>-2.6288741510623699</v>
      </c>
      <c r="O30" s="30">
        <v>8.5668057891921095E-3</v>
      </c>
      <c r="P30" s="5" t="s">
        <v>29</v>
      </c>
    </row>
    <row r="31" spans="2:16" x14ac:dyDescent="0.2">
      <c r="B31" t="s">
        <v>44</v>
      </c>
      <c r="C31" s="27">
        <v>1076.576</v>
      </c>
      <c r="J31" s="5">
        <v>19</v>
      </c>
      <c r="K31" s="5" t="s">
        <v>86</v>
      </c>
      <c r="L31" s="23">
        <v>-2.5981252054175599</v>
      </c>
      <c r="M31" s="32">
        <v>0.75263344841697699</v>
      </c>
      <c r="N31" s="32">
        <v>-3.4520458941629899</v>
      </c>
      <c r="O31" s="30">
        <v>5.5635308749302204E-4</v>
      </c>
      <c r="P31" s="5" t="s">
        <v>29</v>
      </c>
    </row>
    <row r="32" spans="2:16" x14ac:dyDescent="0.2">
      <c r="J32" s="16" t="s">
        <v>35</v>
      </c>
      <c r="K32" s="16"/>
      <c r="L32" s="16"/>
      <c r="M32" s="16"/>
      <c r="N32" s="16"/>
      <c r="O32" s="16"/>
      <c r="P32" s="16"/>
    </row>
    <row r="33" spans="2:11" x14ac:dyDescent="0.2">
      <c r="B33" s="35" t="s">
        <v>97</v>
      </c>
      <c r="C33" s="35"/>
      <c r="D33" s="35"/>
      <c r="E33" s="35"/>
      <c r="F33" s="35"/>
      <c r="G33" s="35"/>
      <c r="H33" s="35"/>
      <c r="J33" t="s">
        <v>39</v>
      </c>
      <c r="K33">
        <v>20</v>
      </c>
    </row>
    <row r="34" spans="2:11" x14ac:dyDescent="0.2">
      <c r="B34" s="1" t="s">
        <v>93</v>
      </c>
      <c r="C34" s="1"/>
      <c r="D34" s="1"/>
      <c r="E34" s="1"/>
      <c r="F34" s="1"/>
      <c r="G34" s="1"/>
      <c r="H34" s="1"/>
      <c r="J34" t="s">
        <v>40</v>
      </c>
      <c r="K34">
        <v>172</v>
      </c>
    </row>
    <row r="35" spans="2:11" x14ac:dyDescent="0.2">
      <c r="J35" t="s">
        <v>41</v>
      </c>
      <c r="K35" s="27">
        <f>C27</f>
        <v>-705.00120000000004</v>
      </c>
    </row>
    <row r="36" spans="2:11" x14ac:dyDescent="0.2">
      <c r="B36" t="s">
        <v>36</v>
      </c>
      <c r="C36">
        <f>K33-C25</f>
        <v>8</v>
      </c>
      <c r="J36" t="s">
        <v>42</v>
      </c>
      <c r="K36" s="27">
        <v>-457.24329999999998</v>
      </c>
    </row>
    <row r="37" spans="2:11" x14ac:dyDescent="0.2">
      <c r="B37" t="s">
        <v>37</v>
      </c>
      <c r="C37" s="27">
        <f>-2*(C28-K36)</f>
        <v>100.31960000000004</v>
      </c>
      <c r="J37" t="s">
        <v>92</v>
      </c>
      <c r="K37" s="27">
        <f>-2*(K35-K36)</f>
        <v>495.51580000000013</v>
      </c>
    </row>
    <row r="38" spans="2:11" ht="20" x14ac:dyDescent="0.25">
      <c r="B38" t="s">
        <v>50</v>
      </c>
      <c r="C38" s="27">
        <f>_xlfn.CHISQ.INV(0.95,C36)</f>
        <v>15.507313055865449</v>
      </c>
      <c r="D38" s="10" t="s">
        <v>7</v>
      </c>
      <c r="E38" s="19" t="str">
        <f>IF(C37&lt;C38,"H0 cannot be rejected","H0 rejected")</f>
        <v>H0 rejected</v>
      </c>
      <c r="F38" s="19"/>
      <c r="G38" s="19"/>
      <c r="H38" s="19"/>
      <c r="J38" t="s">
        <v>43</v>
      </c>
      <c r="K38" s="27">
        <v>954.48659999999995</v>
      </c>
    </row>
    <row r="39" spans="2:11" x14ac:dyDescent="0.2">
      <c r="J39" t="s">
        <v>44</v>
      </c>
      <c r="K39" s="27">
        <v>1017.437</v>
      </c>
    </row>
  </sheetData>
  <mergeCells count="6">
    <mergeCell ref="J32:P32"/>
    <mergeCell ref="B24:H24"/>
    <mergeCell ref="B33:H33"/>
    <mergeCell ref="E38:H38"/>
    <mergeCell ref="B10:H10"/>
    <mergeCell ref="J10:P10"/>
  </mergeCells>
  <conditionalFormatting sqref="E38:H38">
    <cfRule type="cellIs" dxfId="239" priority="3" operator="equal">
      <formula>"H0 cannot be rejected"</formula>
    </cfRule>
    <cfRule type="cellIs" dxfId="238" priority="4" operator="equal">
      <formula>"H0 rejected"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E318-F059-3C46-BBF7-157B5A39D95F}">
  <dimension ref="B2:P38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</cols>
  <sheetData>
    <row r="2" spans="2:16" x14ac:dyDescent="0.2">
      <c r="B2" s="13" t="s">
        <v>13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2:16" x14ac:dyDescent="0.2">
      <c r="B4" s="12" t="s">
        <v>45</v>
      </c>
      <c r="C4" s="12" t="s">
        <v>46</v>
      </c>
      <c r="D4" s="2"/>
      <c r="E4" s="2"/>
      <c r="F4" s="2"/>
    </row>
    <row r="5" spans="2:16" x14ac:dyDescent="0.2">
      <c r="B5" s="5" t="s">
        <v>2</v>
      </c>
      <c r="C5" s="4" t="s">
        <v>5</v>
      </c>
      <c r="D5" s="2"/>
      <c r="E5" s="2"/>
      <c r="F5" s="2"/>
    </row>
    <row r="6" spans="2:16" x14ac:dyDescent="0.2">
      <c r="B6" s="5" t="s">
        <v>3</v>
      </c>
      <c r="C6" s="4" t="s">
        <v>6</v>
      </c>
      <c r="D6" s="2"/>
      <c r="E6" s="2"/>
      <c r="F6" s="2"/>
    </row>
    <row r="8" spans="2:16" x14ac:dyDescent="0.2">
      <c r="B8" s="18" t="s">
        <v>54</v>
      </c>
      <c r="C8" s="18"/>
      <c r="D8" s="18"/>
      <c r="E8" s="18"/>
      <c r="F8" s="18"/>
      <c r="G8" s="18"/>
      <c r="H8" s="18"/>
      <c r="J8" s="18" t="s">
        <v>53</v>
      </c>
      <c r="K8" s="18"/>
      <c r="L8" s="18"/>
      <c r="M8" s="18"/>
      <c r="N8" s="18"/>
      <c r="O8" s="18"/>
      <c r="P8" s="18"/>
    </row>
    <row r="9" spans="2:16" x14ac:dyDescent="0.2">
      <c r="B9" s="6" t="s">
        <v>34</v>
      </c>
      <c r="C9" s="6" t="s">
        <v>22</v>
      </c>
      <c r="D9" s="8" t="s">
        <v>23</v>
      </c>
      <c r="E9" s="8" t="s">
        <v>24</v>
      </c>
      <c r="F9" s="8" t="s">
        <v>25</v>
      </c>
      <c r="G9" s="8" t="s">
        <v>26</v>
      </c>
      <c r="H9" s="6" t="s">
        <v>27</v>
      </c>
      <c r="J9" s="6" t="s">
        <v>34</v>
      </c>
      <c r="K9" s="6" t="s">
        <v>22</v>
      </c>
      <c r="L9" s="6" t="s">
        <v>23</v>
      </c>
      <c r="M9" s="6" t="s">
        <v>24</v>
      </c>
      <c r="N9" s="6" t="s">
        <v>25</v>
      </c>
      <c r="O9" s="6" t="s">
        <v>26</v>
      </c>
      <c r="P9" s="6" t="s">
        <v>27</v>
      </c>
    </row>
    <row r="10" spans="2:16" x14ac:dyDescent="0.2">
      <c r="B10" s="5">
        <v>0</v>
      </c>
      <c r="C10" s="5" t="s">
        <v>32</v>
      </c>
      <c r="D10" s="23">
        <v>5.7318173401710801</v>
      </c>
      <c r="E10" s="32">
        <v>1.00098719600007</v>
      </c>
      <c r="F10" s="32">
        <v>5.7261644934873601</v>
      </c>
      <c r="G10" s="30">
        <v>1.02726620543336E-8</v>
      </c>
      <c r="H10" s="5" t="s">
        <v>29</v>
      </c>
      <c r="J10" s="5">
        <v>0</v>
      </c>
      <c r="K10" s="5" t="s">
        <v>32</v>
      </c>
      <c r="L10" s="23">
        <v>5.7318173401710801</v>
      </c>
      <c r="M10" s="32">
        <v>1.00098719600007</v>
      </c>
      <c r="N10" s="32">
        <v>5.7261644934873601</v>
      </c>
      <c r="O10" s="30">
        <v>1.02726620543336E-8</v>
      </c>
      <c r="P10" s="5" t="s">
        <v>29</v>
      </c>
    </row>
    <row r="11" spans="2:16" x14ac:dyDescent="0.2">
      <c r="B11" s="5">
        <v>1</v>
      </c>
      <c r="C11" s="5" t="s">
        <v>55</v>
      </c>
      <c r="D11" s="21">
        <v>0</v>
      </c>
      <c r="E11" s="32">
        <v>0.30844294460004601</v>
      </c>
      <c r="F11" s="32">
        <v>0</v>
      </c>
      <c r="G11" s="30">
        <v>1</v>
      </c>
      <c r="H11" s="11" t="s">
        <v>30</v>
      </c>
      <c r="J11" s="5">
        <v>1</v>
      </c>
      <c r="K11" s="5" t="s">
        <v>72</v>
      </c>
      <c r="L11" s="21">
        <v>0</v>
      </c>
      <c r="M11" s="32">
        <v>0.30844294460004601</v>
      </c>
      <c r="N11" s="32">
        <v>0</v>
      </c>
      <c r="O11" s="30">
        <v>1</v>
      </c>
      <c r="P11" s="11" t="s">
        <v>30</v>
      </c>
    </row>
    <row r="12" spans="2:16" x14ac:dyDescent="0.2">
      <c r="B12" s="5">
        <v>2</v>
      </c>
      <c r="C12" s="5" t="s">
        <v>56</v>
      </c>
      <c r="D12" s="23">
        <v>-0.59153616204836501</v>
      </c>
      <c r="E12" s="32">
        <v>0.26562983772091397</v>
      </c>
      <c r="F12" s="32">
        <v>-2.2269191109090101</v>
      </c>
      <c r="G12" s="30">
        <v>2.5952680351719298E-2</v>
      </c>
      <c r="H12" s="5" t="s">
        <v>29</v>
      </c>
      <c r="J12" s="5">
        <v>2</v>
      </c>
      <c r="K12" s="5" t="s">
        <v>74</v>
      </c>
      <c r="L12" s="23">
        <v>-0.59153616204836501</v>
      </c>
      <c r="M12" s="32">
        <v>0.26562983772091397</v>
      </c>
      <c r="N12" s="32">
        <v>-2.2269191109090101</v>
      </c>
      <c r="O12" s="30">
        <v>2.5952680351719298E-2</v>
      </c>
      <c r="P12" s="5" t="s">
        <v>29</v>
      </c>
    </row>
    <row r="13" spans="2:16" x14ac:dyDescent="0.2">
      <c r="B13" s="5">
        <v>3</v>
      </c>
      <c r="C13" s="5" t="s">
        <v>57</v>
      </c>
      <c r="D13" s="21">
        <v>0</v>
      </c>
      <c r="E13" s="32">
        <v>3.6420293906412202</v>
      </c>
      <c r="F13" s="32">
        <v>0</v>
      </c>
      <c r="G13" s="30">
        <v>1</v>
      </c>
      <c r="H13" s="11" t="s">
        <v>30</v>
      </c>
      <c r="J13" s="5">
        <v>3</v>
      </c>
      <c r="K13" s="5" t="s">
        <v>76</v>
      </c>
      <c r="L13" s="21">
        <v>0</v>
      </c>
      <c r="M13" s="32">
        <v>3.6420293906412202</v>
      </c>
      <c r="N13" s="32">
        <v>0</v>
      </c>
      <c r="O13" s="30">
        <v>1</v>
      </c>
      <c r="P13" s="11" t="s">
        <v>30</v>
      </c>
    </row>
    <row r="14" spans="2:16" x14ac:dyDescent="0.2">
      <c r="B14" s="5">
        <v>4</v>
      </c>
      <c r="C14" s="5" t="s">
        <v>58</v>
      </c>
      <c r="D14" s="23">
        <v>-6.22952985837646</v>
      </c>
      <c r="E14" s="32">
        <v>1.3671365193771201</v>
      </c>
      <c r="F14" s="32">
        <v>-4.5566260355730002</v>
      </c>
      <c r="G14" s="30">
        <v>5.1981852811078196E-6</v>
      </c>
      <c r="H14" s="5" t="s">
        <v>29</v>
      </c>
      <c r="J14" s="5">
        <v>4</v>
      </c>
      <c r="K14" s="5" t="s">
        <v>78</v>
      </c>
      <c r="L14" s="23">
        <v>-6.22952985837646</v>
      </c>
      <c r="M14" s="32">
        <v>1.3671365193771201</v>
      </c>
      <c r="N14" s="32">
        <v>-4.5566260355730002</v>
      </c>
      <c r="O14" s="30">
        <v>5.1981852811078196E-6</v>
      </c>
      <c r="P14" s="5" t="s">
        <v>29</v>
      </c>
    </row>
    <row r="15" spans="2:16" x14ac:dyDescent="0.2">
      <c r="B15" s="5">
        <v>5</v>
      </c>
      <c r="C15" s="5" t="s">
        <v>33</v>
      </c>
      <c r="D15" s="23">
        <v>3.0721082932758201</v>
      </c>
      <c r="E15" s="32">
        <v>1.0226337660051701</v>
      </c>
      <c r="F15" s="32">
        <v>3.0041138826040701</v>
      </c>
      <c r="G15" s="30">
        <v>2.6635560483691998E-3</v>
      </c>
      <c r="H15" s="5" t="s">
        <v>29</v>
      </c>
      <c r="J15" s="5">
        <v>5</v>
      </c>
      <c r="K15" s="5" t="s">
        <v>33</v>
      </c>
      <c r="L15" s="23">
        <v>3.0721082932758201</v>
      </c>
      <c r="M15" s="32">
        <v>1.0226337660051701</v>
      </c>
      <c r="N15" s="32">
        <v>3.0041138826040701</v>
      </c>
      <c r="O15" s="30">
        <v>2.6635560483691998E-3</v>
      </c>
      <c r="P15" s="5" t="s">
        <v>29</v>
      </c>
    </row>
    <row r="16" spans="2:16" x14ac:dyDescent="0.2">
      <c r="B16" s="5">
        <v>6</v>
      </c>
      <c r="C16" s="5" t="s">
        <v>59</v>
      </c>
      <c r="D16" s="21">
        <v>0</v>
      </c>
      <c r="E16" s="32">
        <v>0.43768037863415199</v>
      </c>
      <c r="F16" s="32">
        <v>0</v>
      </c>
      <c r="G16" s="30">
        <v>1</v>
      </c>
      <c r="H16" s="11" t="s">
        <v>30</v>
      </c>
      <c r="J16" s="5">
        <v>6</v>
      </c>
      <c r="K16" s="5" t="s">
        <v>79</v>
      </c>
      <c r="L16" s="21">
        <v>0</v>
      </c>
      <c r="M16" s="32">
        <v>0.43768037863415199</v>
      </c>
      <c r="N16" s="32">
        <v>0</v>
      </c>
      <c r="O16" s="30">
        <v>1</v>
      </c>
      <c r="P16" s="11" t="s">
        <v>30</v>
      </c>
    </row>
    <row r="17" spans="2:16" x14ac:dyDescent="0.2">
      <c r="B17" s="5">
        <v>7</v>
      </c>
      <c r="C17" s="5" t="s">
        <v>60</v>
      </c>
      <c r="D17" s="23">
        <v>-0.32742384647940898</v>
      </c>
      <c r="E17" s="32">
        <v>0.37495650035768902</v>
      </c>
      <c r="F17" s="32">
        <v>-0.87323155130545405</v>
      </c>
      <c r="G17" s="30">
        <v>0.38253688067475999</v>
      </c>
      <c r="H17" s="5" t="s">
        <v>29</v>
      </c>
      <c r="J17" s="5">
        <v>7</v>
      </c>
      <c r="K17" s="5" t="s">
        <v>80</v>
      </c>
      <c r="L17" s="23">
        <v>-0.32742384647940898</v>
      </c>
      <c r="M17" s="32">
        <v>0.37495650035768902</v>
      </c>
      <c r="N17" s="32">
        <v>-0.87323155130545405</v>
      </c>
      <c r="O17" s="30">
        <v>0.38253688067475999</v>
      </c>
      <c r="P17" s="5" t="s">
        <v>29</v>
      </c>
    </row>
    <row r="18" spans="2:16" x14ac:dyDescent="0.2">
      <c r="B18" s="5">
        <v>8</v>
      </c>
      <c r="C18" s="5" t="s">
        <v>61</v>
      </c>
      <c r="D18" s="23">
        <v>-1.4065714003504499</v>
      </c>
      <c r="E18" s="32">
        <v>0.48512468037336798</v>
      </c>
      <c r="F18" s="32">
        <v>-2.8994018594723099</v>
      </c>
      <c r="G18" s="30">
        <v>3.73875368166554E-3</v>
      </c>
      <c r="H18" s="5" t="s">
        <v>29</v>
      </c>
      <c r="J18" s="5">
        <v>8</v>
      </c>
      <c r="K18" s="5" t="s">
        <v>81</v>
      </c>
      <c r="L18" s="23">
        <v>-1.4065714003504499</v>
      </c>
      <c r="M18" s="32">
        <v>0.48512468037336798</v>
      </c>
      <c r="N18" s="32">
        <v>-2.8994018594723099</v>
      </c>
      <c r="O18" s="30">
        <v>3.73875368166554E-3</v>
      </c>
      <c r="P18" s="5" t="s">
        <v>29</v>
      </c>
    </row>
    <row r="19" spans="2:16" x14ac:dyDescent="0.2">
      <c r="B19" s="12">
        <v>9</v>
      </c>
      <c r="C19" s="12" t="s">
        <v>62</v>
      </c>
      <c r="D19" s="33">
        <v>-0.91104390013301695</v>
      </c>
      <c r="E19" s="34">
        <v>0.29207957125796502</v>
      </c>
      <c r="F19" s="34">
        <v>-3.11916337116361</v>
      </c>
      <c r="G19" s="31">
        <v>1.81365369751351E-3</v>
      </c>
      <c r="H19" s="12" t="s">
        <v>29</v>
      </c>
      <c r="J19" s="12">
        <v>9</v>
      </c>
      <c r="K19" s="12" t="s">
        <v>82</v>
      </c>
      <c r="L19" s="33">
        <v>-0.91104390013301695</v>
      </c>
      <c r="M19" s="34">
        <v>0.29207957125796502</v>
      </c>
      <c r="N19" s="34">
        <v>-3.11916337116361</v>
      </c>
      <c r="O19" s="31">
        <v>1.81365369751351E-3</v>
      </c>
      <c r="P19" s="12" t="s">
        <v>29</v>
      </c>
    </row>
    <row r="20" spans="2:16" x14ac:dyDescent="0.2">
      <c r="B20" s="16" t="s">
        <v>35</v>
      </c>
      <c r="C20" s="16"/>
      <c r="D20" s="16"/>
      <c r="E20" s="16"/>
      <c r="F20" s="16"/>
      <c r="G20" s="16"/>
      <c r="H20" s="16"/>
      <c r="J20" s="16" t="s">
        <v>35</v>
      </c>
      <c r="K20" s="16"/>
      <c r="L20" s="16"/>
      <c r="M20" s="16"/>
      <c r="N20" s="16"/>
      <c r="O20" s="16"/>
      <c r="P20" s="16"/>
    </row>
    <row r="21" spans="2:16" x14ac:dyDescent="0.2">
      <c r="B21" t="s">
        <v>39</v>
      </c>
      <c r="C21">
        <v>10</v>
      </c>
      <c r="J21" t="s">
        <v>39</v>
      </c>
      <c r="K21">
        <v>10</v>
      </c>
      <c r="L21" s="7"/>
      <c r="M21" s="7"/>
      <c r="N21" s="7"/>
      <c r="O21" s="7"/>
    </row>
    <row r="22" spans="2:16" x14ac:dyDescent="0.2">
      <c r="B22" t="s">
        <v>40</v>
      </c>
      <c r="C22">
        <v>115</v>
      </c>
      <c r="J22" t="s">
        <v>40</v>
      </c>
      <c r="K22">
        <v>115</v>
      </c>
      <c r="L22" s="7"/>
      <c r="M22" s="7"/>
      <c r="N22" s="7"/>
      <c r="O22" s="7"/>
    </row>
    <row r="23" spans="2:16" x14ac:dyDescent="0.2">
      <c r="B23" t="s">
        <v>41</v>
      </c>
      <c r="C23" s="27">
        <v>-435.31060000000002</v>
      </c>
      <c r="J23" t="s">
        <v>41</v>
      </c>
      <c r="K23" s="27">
        <f>C23</f>
        <v>-435.31060000000002</v>
      </c>
      <c r="L23" s="7"/>
      <c r="M23" s="7"/>
      <c r="N23" s="7"/>
      <c r="O23" s="7"/>
    </row>
    <row r="24" spans="2:16" x14ac:dyDescent="0.2">
      <c r="B24" t="s">
        <v>42</v>
      </c>
      <c r="C24" s="27">
        <v>-180.36619999999999</v>
      </c>
      <c r="J24" t="s">
        <v>42</v>
      </c>
      <c r="K24" s="27">
        <f>C24</f>
        <v>-180.36619999999999</v>
      </c>
      <c r="L24" s="7"/>
      <c r="M24" s="7"/>
      <c r="N24" s="7"/>
      <c r="O24" s="7"/>
    </row>
    <row r="25" spans="2:16" x14ac:dyDescent="0.2">
      <c r="B25" t="s">
        <v>92</v>
      </c>
      <c r="C25" s="27">
        <f>-2*(C23-C24)</f>
        <v>509.88880000000006</v>
      </c>
      <c r="J25" t="s">
        <v>92</v>
      </c>
      <c r="K25" s="27">
        <f>-2*(K23-K24)</f>
        <v>509.88880000000006</v>
      </c>
      <c r="L25" s="7"/>
      <c r="M25" s="7"/>
      <c r="N25" s="7"/>
      <c r="O25" s="7"/>
    </row>
    <row r="26" spans="2:16" x14ac:dyDescent="0.2">
      <c r="B26" t="s">
        <v>43</v>
      </c>
      <c r="C26" s="27">
        <v>380.73230000000001</v>
      </c>
      <c r="J26" t="s">
        <v>43</v>
      </c>
      <c r="K26" s="27">
        <v>380.73230000000001</v>
      </c>
    </row>
    <row r="27" spans="2:16" x14ac:dyDescent="0.2">
      <c r="B27" t="s">
        <v>44</v>
      </c>
      <c r="C27" s="27">
        <v>408.1816</v>
      </c>
      <c r="J27" t="s">
        <v>44</v>
      </c>
      <c r="K27" s="27">
        <v>408.1816</v>
      </c>
    </row>
    <row r="29" spans="2:16" x14ac:dyDescent="0.2">
      <c r="B29" s="35" t="s">
        <v>97</v>
      </c>
      <c r="C29" s="35"/>
      <c r="D29" s="35"/>
      <c r="E29" s="35"/>
      <c r="F29" s="35"/>
      <c r="G29" s="35"/>
      <c r="H29" s="35"/>
    </row>
    <row r="30" spans="2:16" x14ac:dyDescent="0.2">
      <c r="B30" s="1" t="s">
        <v>98</v>
      </c>
      <c r="C30" s="1"/>
      <c r="D30" s="1"/>
      <c r="E30" s="1"/>
      <c r="F30" s="1"/>
      <c r="G30" s="1"/>
      <c r="H30" s="1"/>
    </row>
    <row r="32" spans="2:16" x14ac:dyDescent="0.2">
      <c r="B32" t="s">
        <v>36</v>
      </c>
      <c r="C32">
        <f>K21-C21</f>
        <v>0</v>
      </c>
    </row>
    <row r="33" spans="2:16" x14ac:dyDescent="0.2">
      <c r="B33" t="s">
        <v>37</v>
      </c>
      <c r="C33" s="27">
        <f>-2*(C24-K24)</f>
        <v>0</v>
      </c>
      <c r="J33" s="9"/>
      <c r="K33" s="9"/>
      <c r="L33" s="9"/>
      <c r="M33" s="9"/>
      <c r="N33" s="9"/>
      <c r="O33" s="9"/>
      <c r="P33" s="9"/>
    </row>
    <row r="34" spans="2:16" ht="20" x14ac:dyDescent="0.25">
      <c r="B34" t="s">
        <v>48</v>
      </c>
      <c r="C34" s="22" t="s">
        <v>48</v>
      </c>
      <c r="D34" s="10" t="s">
        <v>7</v>
      </c>
      <c r="E34" s="19" t="s">
        <v>91</v>
      </c>
      <c r="F34" s="19"/>
      <c r="G34" s="19"/>
      <c r="H34" s="19"/>
      <c r="J34" s="1"/>
      <c r="K34" s="1"/>
      <c r="L34" s="1"/>
      <c r="M34" s="1"/>
      <c r="N34" s="1"/>
      <c r="O34" s="1"/>
      <c r="P34" s="1"/>
    </row>
    <row r="38" spans="2:16" x14ac:dyDescent="0.2">
      <c r="L38" s="3"/>
      <c r="M38" s="15"/>
      <c r="N38" s="14"/>
      <c r="O38" s="14"/>
      <c r="P38" s="14"/>
    </row>
  </sheetData>
  <mergeCells count="6">
    <mergeCell ref="B20:H20"/>
    <mergeCell ref="B29:H29"/>
    <mergeCell ref="E34:H34"/>
    <mergeCell ref="J20:P20"/>
    <mergeCell ref="B8:H8"/>
    <mergeCell ref="J8:P8"/>
  </mergeCells>
  <conditionalFormatting sqref="E34:H34">
    <cfRule type="cellIs" dxfId="237" priority="3" operator="equal">
      <formula>"H0 cannot be rejected"</formula>
    </cfRule>
    <cfRule type="cellIs" dxfId="236" priority="4" operator="equal">
      <formula>"H0 rejected"</formula>
    </cfRule>
  </conditionalFormatting>
  <conditionalFormatting sqref="M38:P38">
    <cfRule type="cellIs" dxfId="235" priority="1" operator="equal">
      <formula>"H0 cannot be rejected"</formula>
    </cfRule>
    <cfRule type="cellIs" dxfId="234" priority="2" operator="equal">
      <formula>"H0 rejected"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3FAB-5D0A-FD41-AF56-0F6789C1D748}">
  <sheetPr>
    <tabColor rgb="FF92D050"/>
  </sheetPr>
  <dimension ref="B2:X42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  <col min="18" max="18" width="31.83203125" bestFit="1" customWidth="1"/>
    <col min="19" max="19" width="26" bestFit="1" customWidth="1"/>
    <col min="20" max="22" width="12.83203125" bestFit="1" customWidth="1"/>
    <col min="23" max="23" width="13.1640625" bestFit="1" customWidth="1"/>
    <col min="24" max="24" width="11.5" bestFit="1" customWidth="1"/>
    <col min="25" max="25" width="6.33203125" customWidth="1"/>
  </cols>
  <sheetData>
    <row r="2" spans="2:24" x14ac:dyDescent="0.2">
      <c r="B2" s="13" t="s">
        <v>14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2:24" x14ac:dyDescent="0.2">
      <c r="B4" s="12" t="s">
        <v>45</v>
      </c>
      <c r="C4" s="12" t="s">
        <v>46</v>
      </c>
      <c r="D4" s="2"/>
      <c r="E4" s="2"/>
      <c r="F4" s="2"/>
    </row>
    <row r="5" spans="2:24" x14ac:dyDescent="0.2">
      <c r="B5" s="5" t="s">
        <v>0</v>
      </c>
      <c r="C5" s="4" t="s">
        <v>5</v>
      </c>
      <c r="D5" s="2"/>
      <c r="E5" s="2"/>
      <c r="F5" s="2"/>
    </row>
    <row r="6" spans="2:24" x14ac:dyDescent="0.2">
      <c r="B6" s="5" t="s">
        <v>1</v>
      </c>
      <c r="C6" s="4" t="s">
        <v>5</v>
      </c>
      <c r="D6" s="2"/>
      <c r="E6" s="2"/>
      <c r="F6" s="2"/>
    </row>
    <row r="7" spans="2:24" x14ac:dyDescent="0.2">
      <c r="B7" s="5" t="s">
        <v>2</v>
      </c>
      <c r="C7" s="4" t="s">
        <v>5</v>
      </c>
      <c r="D7" s="2"/>
      <c r="E7" s="2"/>
      <c r="F7" s="2"/>
    </row>
    <row r="8" spans="2:24" x14ac:dyDescent="0.2">
      <c r="B8" s="5" t="s">
        <v>3</v>
      </c>
      <c r="C8" s="4" t="s">
        <v>6</v>
      </c>
      <c r="D8" s="2"/>
      <c r="E8" s="2"/>
      <c r="F8" s="2"/>
    </row>
    <row r="10" spans="2:24" x14ac:dyDescent="0.2">
      <c r="B10" s="18" t="s">
        <v>52</v>
      </c>
      <c r="C10" s="18"/>
      <c r="D10" s="18"/>
      <c r="E10" s="18"/>
      <c r="F10" s="18"/>
      <c r="G10" s="18"/>
      <c r="H10" s="18"/>
      <c r="J10" s="18" t="s">
        <v>51</v>
      </c>
      <c r="K10" s="18"/>
      <c r="L10" s="18"/>
      <c r="M10" s="18"/>
      <c r="N10" s="18"/>
      <c r="O10" s="18"/>
      <c r="P10" s="18"/>
      <c r="R10" s="18" t="s">
        <v>53</v>
      </c>
      <c r="S10" s="18"/>
      <c r="T10" s="18"/>
      <c r="U10" s="18"/>
      <c r="V10" s="18"/>
      <c r="W10" s="18"/>
      <c r="X10" s="18"/>
    </row>
    <row r="11" spans="2:24" x14ac:dyDescent="0.2">
      <c r="B11" s="6" t="s">
        <v>34</v>
      </c>
      <c r="C11" s="6" t="s">
        <v>22</v>
      </c>
      <c r="D11" s="8" t="s">
        <v>23</v>
      </c>
      <c r="E11" s="8" t="s">
        <v>24</v>
      </c>
      <c r="F11" s="8" t="s">
        <v>25</v>
      </c>
      <c r="G11" s="8" t="s">
        <v>26</v>
      </c>
      <c r="H11" s="6" t="s">
        <v>27</v>
      </c>
      <c r="J11" s="6" t="s">
        <v>34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  <c r="R11" s="6" t="s">
        <v>34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</row>
    <row r="12" spans="2:24" x14ac:dyDescent="0.2">
      <c r="B12" s="5">
        <v>0</v>
      </c>
      <c r="C12" s="5" t="s">
        <v>28</v>
      </c>
      <c r="D12" s="23">
        <v>2.0840896452726398</v>
      </c>
      <c r="E12" s="32">
        <v>0.65356805551945696</v>
      </c>
      <c r="F12" s="32">
        <v>3.1887874991322902</v>
      </c>
      <c r="G12" s="30">
        <v>1.4287086114828E-3</v>
      </c>
      <c r="H12" s="5" t="s">
        <v>29</v>
      </c>
      <c r="J12" s="5">
        <v>0</v>
      </c>
      <c r="K12" s="5" t="s">
        <v>28</v>
      </c>
      <c r="L12" s="23">
        <v>1.84429457447704</v>
      </c>
      <c r="M12" s="32">
        <v>0.607577473330007</v>
      </c>
      <c r="N12" s="32">
        <v>3.0354887326036599</v>
      </c>
      <c r="O12" s="30">
        <v>2.4014619611620802E-3</v>
      </c>
      <c r="P12" s="5" t="s">
        <v>29</v>
      </c>
      <c r="R12" s="5">
        <v>0</v>
      </c>
      <c r="S12" s="5" t="s">
        <v>28</v>
      </c>
      <c r="T12" s="23">
        <v>1.81942749705249</v>
      </c>
      <c r="U12" s="32">
        <v>0.86271565881366497</v>
      </c>
      <c r="V12" s="32">
        <v>2.1089538348642201</v>
      </c>
      <c r="W12" s="30">
        <v>3.4948566650417602E-2</v>
      </c>
      <c r="X12" s="5" t="s">
        <v>29</v>
      </c>
    </row>
    <row r="13" spans="2:24" x14ac:dyDescent="0.2">
      <c r="B13" s="5">
        <v>1</v>
      </c>
      <c r="C13" s="5" t="s">
        <v>55</v>
      </c>
      <c r="D13" s="23">
        <v>-9.9883459146179798E-2</v>
      </c>
      <c r="E13" s="32">
        <v>0.22390161867460001</v>
      </c>
      <c r="F13" s="32">
        <v>-0.44610422978380498</v>
      </c>
      <c r="G13" s="30">
        <v>0.65552195758258203</v>
      </c>
      <c r="H13" s="5" t="s">
        <v>29</v>
      </c>
      <c r="J13" s="5">
        <v>1</v>
      </c>
      <c r="K13" s="5" t="s">
        <v>63</v>
      </c>
      <c r="L13" s="21">
        <v>0</v>
      </c>
      <c r="M13" s="32">
        <v>0.268398026075993</v>
      </c>
      <c r="N13" s="32">
        <v>0</v>
      </c>
      <c r="O13" s="30">
        <v>1</v>
      </c>
      <c r="P13" s="11" t="s">
        <v>30</v>
      </c>
      <c r="R13" s="5">
        <v>1</v>
      </c>
      <c r="S13" s="5" t="s">
        <v>64</v>
      </c>
      <c r="T13" s="23">
        <v>-0.472484918104423</v>
      </c>
      <c r="U13" s="32">
        <v>0.28230576459434897</v>
      </c>
      <c r="V13" s="32">
        <v>-1.6736637269286501</v>
      </c>
      <c r="W13" s="30">
        <v>9.4196706418847101E-2</v>
      </c>
      <c r="X13" s="5" t="s">
        <v>29</v>
      </c>
    </row>
    <row r="14" spans="2:24" x14ac:dyDescent="0.2">
      <c r="B14" s="5">
        <v>2</v>
      </c>
      <c r="C14" s="5" t="s">
        <v>56</v>
      </c>
      <c r="D14" s="23">
        <v>-0.29609923743044703</v>
      </c>
      <c r="E14" s="32">
        <v>0.21863722786572101</v>
      </c>
      <c r="F14" s="32">
        <v>-1.3542946931814299</v>
      </c>
      <c r="G14" s="30">
        <v>0.175642378552715</v>
      </c>
      <c r="H14" s="5" t="s">
        <v>29</v>
      </c>
      <c r="J14" s="5">
        <v>2</v>
      </c>
      <c r="K14" s="5" t="s">
        <v>65</v>
      </c>
      <c r="L14" s="23">
        <v>-0.16689502278677601</v>
      </c>
      <c r="M14" s="32">
        <v>0.272693084198247</v>
      </c>
      <c r="N14" s="32">
        <v>-0.61202513909536405</v>
      </c>
      <c r="O14" s="30">
        <v>0.540521125153413</v>
      </c>
      <c r="P14" s="5" t="s">
        <v>29</v>
      </c>
      <c r="R14" s="5">
        <v>2</v>
      </c>
      <c r="S14" s="5" t="s">
        <v>66</v>
      </c>
      <c r="T14" s="23">
        <v>-0.49881683894576401</v>
      </c>
      <c r="U14" s="32">
        <v>0.69622320851496899</v>
      </c>
      <c r="V14" s="32">
        <v>-0.71646109012902803</v>
      </c>
      <c r="W14" s="30">
        <v>0.47370668504498997</v>
      </c>
      <c r="X14" s="5" t="s">
        <v>29</v>
      </c>
    </row>
    <row r="15" spans="2:24" x14ac:dyDescent="0.2">
      <c r="B15" s="5">
        <v>3</v>
      </c>
      <c r="C15" s="5" t="s">
        <v>57</v>
      </c>
      <c r="D15" s="21">
        <v>0</v>
      </c>
      <c r="E15" s="32">
        <v>0.572638282093066</v>
      </c>
      <c r="F15" s="32">
        <v>0</v>
      </c>
      <c r="G15" s="30">
        <v>1</v>
      </c>
      <c r="H15" s="11" t="s">
        <v>30</v>
      </c>
      <c r="J15" s="5">
        <v>3</v>
      </c>
      <c r="K15" s="5" t="s">
        <v>67</v>
      </c>
      <c r="L15" s="21">
        <v>0</v>
      </c>
      <c r="M15" s="32">
        <v>0.45036921723932899</v>
      </c>
      <c r="N15" s="32">
        <v>0</v>
      </c>
      <c r="O15" s="30">
        <v>1</v>
      </c>
      <c r="P15" s="11" t="s">
        <v>30</v>
      </c>
      <c r="R15" s="5">
        <v>3</v>
      </c>
      <c r="S15" s="5" t="s">
        <v>68</v>
      </c>
      <c r="T15" s="21">
        <v>0</v>
      </c>
      <c r="U15" s="32">
        <v>0.68961293651099798</v>
      </c>
      <c r="V15" s="32">
        <v>0</v>
      </c>
      <c r="W15" s="30">
        <v>1</v>
      </c>
      <c r="X15" s="11" t="s">
        <v>30</v>
      </c>
    </row>
    <row r="16" spans="2:24" x14ac:dyDescent="0.2">
      <c r="B16" s="5">
        <v>4</v>
      </c>
      <c r="C16" s="5" t="s">
        <v>58</v>
      </c>
      <c r="D16" s="23">
        <v>-1.7320273719422901</v>
      </c>
      <c r="E16" s="32">
        <v>0.57374875671490899</v>
      </c>
      <c r="F16" s="32">
        <v>-3.0187906320865898</v>
      </c>
      <c r="G16" s="30">
        <v>2.53785850531174E-3</v>
      </c>
      <c r="H16" s="5" t="s">
        <v>29</v>
      </c>
      <c r="J16" s="5">
        <v>4</v>
      </c>
      <c r="K16" s="5" t="s">
        <v>69</v>
      </c>
      <c r="L16" s="23">
        <v>-1.58498070861344</v>
      </c>
      <c r="M16" s="32">
        <v>0.52589545036961305</v>
      </c>
      <c r="N16" s="32">
        <v>-3.01387035674006</v>
      </c>
      <c r="O16" s="30">
        <v>2.5793800218232299E-3</v>
      </c>
      <c r="P16" s="5" t="s">
        <v>29</v>
      </c>
      <c r="R16" s="5">
        <v>4</v>
      </c>
      <c r="S16" s="5" t="s">
        <v>70</v>
      </c>
      <c r="T16" s="23">
        <v>-0.888000652267524</v>
      </c>
      <c r="U16" s="32">
        <v>0.46413016646093702</v>
      </c>
      <c r="V16" s="32">
        <v>-1.9132577807615101</v>
      </c>
      <c r="W16" s="30">
        <v>5.5715059728214097E-2</v>
      </c>
      <c r="X16" s="5" t="s">
        <v>29</v>
      </c>
    </row>
    <row r="17" spans="2:24" x14ac:dyDescent="0.2">
      <c r="B17" s="5">
        <v>5</v>
      </c>
      <c r="C17" s="5" t="s">
        <v>31</v>
      </c>
      <c r="D17" s="23">
        <v>1.75713129806833</v>
      </c>
      <c r="E17" s="32">
        <v>0.59204982891924696</v>
      </c>
      <c r="F17" s="32">
        <v>2.9678773850435398</v>
      </c>
      <c r="G17" s="30">
        <v>2.9986392402305802E-3</v>
      </c>
      <c r="H17" s="5" t="s">
        <v>29</v>
      </c>
      <c r="J17" s="5">
        <v>5</v>
      </c>
      <c r="K17" s="5" t="s">
        <v>31</v>
      </c>
      <c r="L17" s="23">
        <v>1.78181938700703</v>
      </c>
      <c r="M17" s="32">
        <v>0.60902481768495298</v>
      </c>
      <c r="N17" s="32">
        <v>2.92569257486115</v>
      </c>
      <c r="O17" s="30">
        <v>3.4369038577888298E-3</v>
      </c>
      <c r="P17" s="5" t="s">
        <v>29</v>
      </c>
      <c r="R17" s="5">
        <v>5</v>
      </c>
      <c r="S17" s="5" t="s">
        <v>31</v>
      </c>
      <c r="T17" s="23">
        <v>2.68652840982966</v>
      </c>
      <c r="U17" s="32">
        <v>0.98318646776499696</v>
      </c>
      <c r="V17" s="32">
        <v>2.73247089734335</v>
      </c>
      <c r="W17" s="30">
        <v>6.2861224731776098E-3</v>
      </c>
      <c r="X17" s="5" t="s">
        <v>29</v>
      </c>
    </row>
    <row r="18" spans="2:24" x14ac:dyDescent="0.2">
      <c r="B18" s="5">
        <v>6</v>
      </c>
      <c r="C18" s="5" t="s">
        <v>32</v>
      </c>
      <c r="D18" s="23">
        <v>7.7200206667598401E-2</v>
      </c>
      <c r="E18" s="32">
        <v>0.84248755597126002</v>
      </c>
      <c r="F18" s="32">
        <v>9.1633646242523098E-2</v>
      </c>
      <c r="G18" s="30">
        <v>0.92698911806499695</v>
      </c>
      <c r="H18" s="5" t="s">
        <v>29</v>
      </c>
      <c r="J18" s="5">
        <v>6</v>
      </c>
      <c r="K18" s="5" t="s">
        <v>32</v>
      </c>
      <c r="L18" s="23">
        <v>6.0534551628473903</v>
      </c>
      <c r="M18" s="32">
        <v>1.6190088474284201</v>
      </c>
      <c r="N18" s="32">
        <v>3.7389883152661398</v>
      </c>
      <c r="O18" s="30">
        <v>1.84762313741426E-4</v>
      </c>
      <c r="P18" s="5" t="s">
        <v>29</v>
      </c>
      <c r="R18" s="5">
        <v>6</v>
      </c>
      <c r="S18" s="5" t="s">
        <v>71</v>
      </c>
      <c r="T18" s="21">
        <v>0</v>
      </c>
      <c r="U18" s="32">
        <v>0.53488499616324303</v>
      </c>
      <c r="V18" s="32">
        <v>0</v>
      </c>
      <c r="W18" s="30">
        <v>1</v>
      </c>
      <c r="X18" s="11" t="s">
        <v>30</v>
      </c>
    </row>
    <row r="19" spans="2:24" x14ac:dyDescent="0.2">
      <c r="B19" s="5">
        <v>7</v>
      </c>
      <c r="C19" s="5" t="s">
        <v>33</v>
      </c>
      <c r="D19" s="23">
        <v>3.5214309392756999</v>
      </c>
      <c r="E19" s="32">
        <v>1.45888450816913</v>
      </c>
      <c r="F19" s="32">
        <v>2.4137832155713399</v>
      </c>
      <c r="G19" s="30">
        <v>1.5787852646961E-2</v>
      </c>
      <c r="H19" s="5" t="s">
        <v>29</v>
      </c>
      <c r="J19" s="5">
        <v>7</v>
      </c>
      <c r="K19" s="5" t="s">
        <v>72</v>
      </c>
      <c r="L19" s="23">
        <v>-2.2686461305883201</v>
      </c>
      <c r="M19" s="32">
        <v>0.80049109266638396</v>
      </c>
      <c r="N19" s="32">
        <v>-2.8340679257674202</v>
      </c>
      <c r="O19" s="30">
        <v>4.5959561816673001E-3</v>
      </c>
      <c r="P19" s="5" t="s">
        <v>29</v>
      </c>
      <c r="R19" s="5">
        <v>7</v>
      </c>
      <c r="S19" s="5" t="s">
        <v>73</v>
      </c>
      <c r="T19" s="23">
        <v>-0.18579172794697801</v>
      </c>
      <c r="U19" s="32">
        <v>0.44346145948624799</v>
      </c>
      <c r="V19" s="32">
        <v>-0.41895800406695599</v>
      </c>
      <c r="W19" s="30">
        <v>0.67524682458784302</v>
      </c>
      <c r="X19" s="5" t="s">
        <v>29</v>
      </c>
    </row>
    <row r="20" spans="2:24" x14ac:dyDescent="0.2">
      <c r="B20" s="5">
        <v>8</v>
      </c>
      <c r="C20" s="5" t="s">
        <v>59</v>
      </c>
      <c r="D20" s="23">
        <v>-0.29466133368250202</v>
      </c>
      <c r="E20" s="32">
        <v>0.75273002137761003</v>
      </c>
      <c r="F20" s="32">
        <v>-0.39145686410012798</v>
      </c>
      <c r="G20" s="30">
        <v>0.69545956731594605</v>
      </c>
      <c r="H20" s="5" t="s">
        <v>29</v>
      </c>
      <c r="J20" s="5">
        <v>8</v>
      </c>
      <c r="K20" s="5" t="s">
        <v>74</v>
      </c>
      <c r="L20" s="23">
        <v>-2.2817581367229298</v>
      </c>
      <c r="M20" s="32">
        <v>0.58195667553814201</v>
      </c>
      <c r="N20" s="32">
        <v>-3.9208384964618901</v>
      </c>
      <c r="O20" s="30">
        <v>8.8241389869292406E-5</v>
      </c>
      <c r="P20" s="5" t="s">
        <v>29</v>
      </c>
      <c r="R20" s="5">
        <v>8</v>
      </c>
      <c r="S20" s="5" t="s">
        <v>75</v>
      </c>
      <c r="T20" s="21">
        <v>0</v>
      </c>
      <c r="U20" s="32">
        <v>3.0595932874353702</v>
      </c>
      <c r="V20" s="32">
        <v>0</v>
      </c>
      <c r="W20" s="30">
        <v>1</v>
      </c>
      <c r="X20" s="11" t="s">
        <v>30</v>
      </c>
    </row>
    <row r="21" spans="2:24" x14ac:dyDescent="0.2">
      <c r="B21" s="5">
        <v>9</v>
      </c>
      <c r="C21" s="5" t="s">
        <v>60</v>
      </c>
      <c r="D21" s="23">
        <v>-1.8096353455357399</v>
      </c>
      <c r="E21" s="32">
        <v>0.72277042006345005</v>
      </c>
      <c r="F21" s="32">
        <v>-2.5037484867973401</v>
      </c>
      <c r="G21" s="30">
        <v>1.22885355643818E-2</v>
      </c>
      <c r="H21" s="5" t="s">
        <v>29</v>
      </c>
      <c r="J21" s="5">
        <v>9</v>
      </c>
      <c r="K21" s="5" t="s">
        <v>76</v>
      </c>
      <c r="L21" s="23">
        <v>-3.58780296450501</v>
      </c>
      <c r="M21" s="32">
        <v>4.0643527555144496</v>
      </c>
      <c r="N21" s="32">
        <v>-0.88274890993089405</v>
      </c>
      <c r="O21" s="30">
        <v>0.377371949820967</v>
      </c>
      <c r="P21" s="5" t="s">
        <v>29</v>
      </c>
      <c r="R21" s="5">
        <v>9</v>
      </c>
      <c r="S21" s="5" t="s">
        <v>77</v>
      </c>
      <c r="T21" s="23">
        <v>-3.16826020662507</v>
      </c>
      <c r="U21" s="32">
        <v>0.93022625402623405</v>
      </c>
      <c r="V21" s="32">
        <v>-3.4059028036589001</v>
      </c>
      <c r="W21" s="30">
        <v>6.5945652395971101E-4</v>
      </c>
      <c r="X21" s="5" t="s">
        <v>29</v>
      </c>
    </row>
    <row r="22" spans="2:24" x14ac:dyDescent="0.2">
      <c r="B22" s="5">
        <v>10</v>
      </c>
      <c r="C22" s="5" t="s">
        <v>61</v>
      </c>
      <c r="D22" s="23">
        <v>-0.32629064998705298</v>
      </c>
      <c r="E22" s="32">
        <v>2.1099110616346</v>
      </c>
      <c r="F22" s="32">
        <v>-0.15464663696974301</v>
      </c>
      <c r="G22" s="30">
        <v>0.87709990125686899</v>
      </c>
      <c r="H22" s="5" t="s">
        <v>29</v>
      </c>
      <c r="J22" s="5">
        <v>10</v>
      </c>
      <c r="K22" s="5" t="s">
        <v>78</v>
      </c>
      <c r="L22" s="23">
        <v>-9.5715744187325402</v>
      </c>
      <c r="M22" s="32">
        <v>6.3705464679788504</v>
      </c>
      <c r="N22" s="32">
        <v>-1.5024730557799699</v>
      </c>
      <c r="O22" s="30">
        <v>0.13297498143925199</v>
      </c>
      <c r="P22" s="5" t="s">
        <v>29</v>
      </c>
      <c r="R22" s="5">
        <v>10</v>
      </c>
      <c r="S22" s="5" t="s">
        <v>32</v>
      </c>
      <c r="T22" s="23">
        <v>6.5504320311489099</v>
      </c>
      <c r="U22" s="32">
        <v>1.63944433489646</v>
      </c>
      <c r="V22" s="32">
        <v>3.9955196353541198</v>
      </c>
      <c r="W22" s="30">
        <v>6.4552506360060396E-5</v>
      </c>
      <c r="X22" s="5" t="s">
        <v>29</v>
      </c>
    </row>
    <row r="23" spans="2:24" x14ac:dyDescent="0.2">
      <c r="B23" s="12">
        <v>11</v>
      </c>
      <c r="C23" s="12" t="s">
        <v>62</v>
      </c>
      <c r="D23" s="33">
        <v>-5.7361292175449901</v>
      </c>
      <c r="E23" s="34">
        <v>1.5644014072560599</v>
      </c>
      <c r="F23" s="34">
        <v>-3.6666607374165299</v>
      </c>
      <c r="G23" s="31">
        <v>2.4573847528186401E-4</v>
      </c>
      <c r="H23" s="12" t="s">
        <v>29</v>
      </c>
      <c r="J23" s="5">
        <v>11</v>
      </c>
      <c r="K23" s="5" t="s">
        <v>33</v>
      </c>
      <c r="L23" s="23">
        <v>3.7090051333065301</v>
      </c>
      <c r="M23" s="32">
        <v>1.36847316290807</v>
      </c>
      <c r="N23" s="32">
        <v>2.7103236174721199</v>
      </c>
      <c r="O23" s="30">
        <v>6.7217588992840504E-3</v>
      </c>
      <c r="P23" s="5" t="s">
        <v>29</v>
      </c>
      <c r="R23" s="5">
        <v>11</v>
      </c>
      <c r="S23" s="5" t="s">
        <v>72</v>
      </c>
      <c r="T23" s="23">
        <v>-2.6795116738958402</v>
      </c>
      <c r="U23" s="32">
        <v>0.87997640490507401</v>
      </c>
      <c r="V23" s="32">
        <v>-3.0449812733159498</v>
      </c>
      <c r="W23" s="30">
        <v>2.3269479825651601E-3</v>
      </c>
      <c r="X23" s="5" t="s">
        <v>29</v>
      </c>
    </row>
    <row r="24" spans="2:24" x14ac:dyDescent="0.2">
      <c r="B24" s="16" t="s">
        <v>35</v>
      </c>
      <c r="C24" s="16"/>
      <c r="D24" s="16"/>
      <c r="E24" s="16"/>
      <c r="F24" s="16"/>
      <c r="G24" s="16"/>
      <c r="H24" s="16"/>
      <c r="J24" s="5">
        <v>12</v>
      </c>
      <c r="K24" s="5" t="s">
        <v>79</v>
      </c>
      <c r="L24" s="23">
        <v>-0.33520659786780799</v>
      </c>
      <c r="M24" s="32">
        <v>0.62097265083670505</v>
      </c>
      <c r="N24" s="32">
        <v>-0.53980895521911798</v>
      </c>
      <c r="O24" s="30">
        <v>0.58932879058589605</v>
      </c>
      <c r="P24" s="5" t="s">
        <v>29</v>
      </c>
      <c r="R24" s="5">
        <v>12</v>
      </c>
      <c r="S24" s="5" t="s">
        <v>74</v>
      </c>
      <c r="T24" s="23">
        <v>-2.73855614652624</v>
      </c>
      <c r="U24" s="32">
        <v>0.731048082443429</v>
      </c>
      <c r="V24" s="32">
        <v>-3.7460684355712801</v>
      </c>
      <c r="W24" s="30">
        <v>1.7962760730871801E-4</v>
      </c>
      <c r="X24" s="5" t="s">
        <v>29</v>
      </c>
    </row>
    <row r="25" spans="2:24" x14ac:dyDescent="0.2">
      <c r="B25" t="s">
        <v>39</v>
      </c>
      <c r="C25">
        <v>12</v>
      </c>
      <c r="J25" s="5">
        <v>13</v>
      </c>
      <c r="K25" s="5" t="s">
        <v>80</v>
      </c>
      <c r="L25" s="23">
        <v>-1.6097573364047699</v>
      </c>
      <c r="M25" s="32">
        <v>0.55800176555846404</v>
      </c>
      <c r="N25" s="32">
        <v>-2.8848606505638501</v>
      </c>
      <c r="O25" s="30">
        <v>3.9158694932881401E-3</v>
      </c>
      <c r="P25" s="5" t="s">
        <v>29</v>
      </c>
      <c r="R25" s="5">
        <v>13</v>
      </c>
      <c r="S25" s="5" t="s">
        <v>76</v>
      </c>
      <c r="T25" s="23">
        <v>-4.3263373907741602</v>
      </c>
      <c r="U25" s="32">
        <v>4.4882140692814803</v>
      </c>
      <c r="V25" s="32">
        <v>-0.96393294169829302</v>
      </c>
      <c r="W25" s="30">
        <v>0.33507954702387699</v>
      </c>
      <c r="X25" s="5" t="s">
        <v>29</v>
      </c>
    </row>
    <row r="26" spans="2:24" x14ac:dyDescent="0.2">
      <c r="B26" t="s">
        <v>40</v>
      </c>
      <c r="C26">
        <v>95</v>
      </c>
      <c r="J26" s="5">
        <v>14</v>
      </c>
      <c r="K26" s="5" t="s">
        <v>81</v>
      </c>
      <c r="L26" s="21">
        <v>0</v>
      </c>
      <c r="M26" s="32">
        <v>2.5757603036094299</v>
      </c>
      <c r="N26" s="32">
        <v>0</v>
      </c>
      <c r="O26" s="30">
        <v>1</v>
      </c>
      <c r="P26" s="11" t="s">
        <v>30</v>
      </c>
      <c r="R26" s="5">
        <v>14</v>
      </c>
      <c r="S26" s="5" t="s">
        <v>78</v>
      </c>
      <c r="T26" s="23">
        <v>-9.7313565221786593</v>
      </c>
      <c r="U26" s="32">
        <v>6.7946919947253797</v>
      </c>
      <c r="V26" s="32">
        <v>-1.4321998009229799</v>
      </c>
      <c r="W26" s="30">
        <v>0.15208664869951599</v>
      </c>
      <c r="X26" s="5" t="s">
        <v>29</v>
      </c>
    </row>
    <row r="27" spans="2:24" x14ac:dyDescent="0.2">
      <c r="B27" t="s">
        <v>41</v>
      </c>
      <c r="C27" s="27">
        <v>-429.3494</v>
      </c>
      <c r="J27" s="12">
        <v>15</v>
      </c>
      <c r="K27" s="12" t="s">
        <v>82</v>
      </c>
      <c r="L27" s="33">
        <v>-5.8589037386626197</v>
      </c>
      <c r="M27" s="34">
        <v>1.89058000723097</v>
      </c>
      <c r="N27" s="34">
        <v>-3.0989980409471301</v>
      </c>
      <c r="O27" s="31">
        <v>1.94176304058535E-3</v>
      </c>
      <c r="P27" s="12" t="s">
        <v>29</v>
      </c>
      <c r="R27" s="5">
        <v>15</v>
      </c>
      <c r="S27" s="5" t="s">
        <v>33</v>
      </c>
      <c r="T27" s="23">
        <v>3.99017149574644</v>
      </c>
      <c r="U27" s="32">
        <v>1.80851836449142</v>
      </c>
      <c r="V27" s="32">
        <v>2.2063206954873902</v>
      </c>
      <c r="W27" s="30">
        <v>2.73615533369568E-2</v>
      </c>
      <c r="X27" s="5" t="s">
        <v>29</v>
      </c>
    </row>
    <row r="28" spans="2:24" x14ac:dyDescent="0.2">
      <c r="B28" t="s">
        <v>42</v>
      </c>
      <c r="C28" s="27">
        <v>-190.6414</v>
      </c>
      <c r="J28" s="16" t="s">
        <v>35</v>
      </c>
      <c r="K28" s="16"/>
      <c r="L28" s="16"/>
      <c r="M28" s="16"/>
      <c r="N28" s="16"/>
      <c r="O28" s="16"/>
      <c r="P28" s="16"/>
      <c r="R28" s="5">
        <v>16</v>
      </c>
      <c r="S28" s="5" t="s">
        <v>79</v>
      </c>
      <c r="T28" s="23">
        <v>-0.460242029442683</v>
      </c>
      <c r="U28" s="32">
        <v>0.81864276989413298</v>
      </c>
      <c r="V28" s="32">
        <v>-0.56220129996653001</v>
      </c>
      <c r="W28" s="30">
        <v>0.57397887582644302</v>
      </c>
      <c r="X28" s="5" t="s">
        <v>29</v>
      </c>
    </row>
    <row r="29" spans="2:24" x14ac:dyDescent="0.2">
      <c r="B29" t="s">
        <v>92</v>
      </c>
      <c r="C29" s="27">
        <f>-2*(C27-C28)</f>
        <v>477.416</v>
      </c>
      <c r="J29" t="s">
        <v>39</v>
      </c>
      <c r="K29">
        <v>16</v>
      </c>
      <c r="L29" s="7"/>
      <c r="M29" s="7"/>
      <c r="N29" s="7"/>
      <c r="O29" s="7"/>
      <c r="R29" s="5">
        <v>17</v>
      </c>
      <c r="S29" s="5" t="s">
        <v>80</v>
      </c>
      <c r="T29" s="23">
        <v>-1.9980349745567201</v>
      </c>
      <c r="U29" s="32">
        <v>0.86289734881765401</v>
      </c>
      <c r="V29" s="32">
        <v>-2.3154955537810298</v>
      </c>
      <c r="W29" s="30">
        <v>2.0585827605260801E-2</v>
      </c>
      <c r="X29" s="5" t="s">
        <v>29</v>
      </c>
    </row>
    <row r="30" spans="2:24" x14ac:dyDescent="0.2">
      <c r="B30" t="s">
        <v>43</v>
      </c>
      <c r="C30" s="27">
        <v>405.28280000000001</v>
      </c>
      <c r="J30" t="s">
        <v>40</v>
      </c>
      <c r="K30">
        <v>95</v>
      </c>
      <c r="L30" s="7"/>
      <c r="M30" s="7"/>
      <c r="N30" s="7"/>
      <c r="O30" s="7"/>
      <c r="R30" s="5">
        <v>18</v>
      </c>
      <c r="S30" s="5" t="s">
        <v>81</v>
      </c>
      <c r="T30" s="21">
        <v>0</v>
      </c>
      <c r="U30" s="32">
        <v>3.4109940830084802</v>
      </c>
      <c r="V30" s="32">
        <v>0</v>
      </c>
      <c r="W30" s="30">
        <v>1</v>
      </c>
      <c r="X30" s="11" t="s">
        <v>30</v>
      </c>
    </row>
    <row r="31" spans="2:24" x14ac:dyDescent="0.2">
      <c r="B31" t="s">
        <v>44</v>
      </c>
      <c r="C31" s="27">
        <v>435.92930000000001</v>
      </c>
      <c r="J31" t="s">
        <v>41</v>
      </c>
      <c r="K31" s="27">
        <f>C27</f>
        <v>-429.3494</v>
      </c>
      <c r="L31" s="7"/>
      <c r="M31" s="7"/>
      <c r="N31" s="7"/>
      <c r="O31" s="7"/>
      <c r="R31" s="5">
        <v>19</v>
      </c>
      <c r="S31" s="5" t="s">
        <v>82</v>
      </c>
      <c r="T31" s="23">
        <v>-5.9062903474814403</v>
      </c>
      <c r="U31" s="32">
        <v>2.5982558122289499</v>
      </c>
      <c r="V31" s="32">
        <v>-2.2731750737101701</v>
      </c>
      <c r="W31" s="30">
        <v>2.3015631770904699E-2</v>
      </c>
      <c r="X31" s="5" t="s">
        <v>29</v>
      </c>
    </row>
    <row r="32" spans="2:24" x14ac:dyDescent="0.2">
      <c r="J32" t="s">
        <v>42</v>
      </c>
      <c r="K32" s="27">
        <v>-171.22929999999999</v>
      </c>
      <c r="L32" s="7"/>
      <c r="M32" s="7"/>
      <c r="N32" s="7"/>
      <c r="O32" s="7"/>
      <c r="R32" s="16" t="s">
        <v>35</v>
      </c>
      <c r="S32" s="16"/>
      <c r="T32" s="16"/>
      <c r="U32" s="16"/>
      <c r="V32" s="16"/>
      <c r="W32" s="16"/>
      <c r="X32" s="16"/>
    </row>
    <row r="33" spans="2:19" x14ac:dyDescent="0.2">
      <c r="B33" s="35" t="s">
        <v>95</v>
      </c>
      <c r="C33" s="35"/>
      <c r="D33" s="35"/>
      <c r="E33" s="35"/>
      <c r="F33" s="35"/>
      <c r="G33" s="35"/>
      <c r="H33" s="35"/>
      <c r="J33" t="s">
        <v>92</v>
      </c>
      <c r="K33" s="27">
        <f>-2*(K31-K32)</f>
        <v>516.24019999999996</v>
      </c>
      <c r="L33" s="7"/>
      <c r="M33" s="7"/>
      <c r="N33" s="7"/>
      <c r="O33" s="7"/>
      <c r="R33" t="s">
        <v>39</v>
      </c>
      <c r="S33">
        <v>20</v>
      </c>
    </row>
    <row r="34" spans="2:19" x14ac:dyDescent="0.2">
      <c r="B34" s="1" t="s">
        <v>93</v>
      </c>
      <c r="C34" s="1"/>
      <c r="D34" s="1"/>
      <c r="E34" s="1"/>
      <c r="F34" s="1"/>
      <c r="G34" s="1"/>
      <c r="H34" s="1"/>
      <c r="J34" t="s">
        <v>43</v>
      </c>
      <c r="K34" s="27">
        <v>374.45859999999999</v>
      </c>
      <c r="R34" t="s">
        <v>40</v>
      </c>
      <c r="S34">
        <v>95</v>
      </c>
    </row>
    <row r="35" spans="2:19" x14ac:dyDescent="0.2">
      <c r="J35" t="s">
        <v>44</v>
      </c>
      <c r="K35" s="27">
        <v>415.32060000000001</v>
      </c>
      <c r="R35" t="s">
        <v>41</v>
      </c>
      <c r="S35" s="27">
        <f>K31</f>
        <v>-429.3494</v>
      </c>
    </row>
    <row r="36" spans="2:19" x14ac:dyDescent="0.2">
      <c r="B36" t="s">
        <v>36</v>
      </c>
      <c r="C36">
        <f>K29-C25</f>
        <v>4</v>
      </c>
      <c r="R36" t="s">
        <v>42</v>
      </c>
      <c r="S36" s="27">
        <v>-153.21420000000001</v>
      </c>
    </row>
    <row r="37" spans="2:19" x14ac:dyDescent="0.2">
      <c r="B37" t="s">
        <v>37</v>
      </c>
      <c r="C37" s="27">
        <f>-2*(C28-K32)</f>
        <v>38.824200000000019</v>
      </c>
      <c r="J37" s="35" t="s">
        <v>96</v>
      </c>
      <c r="K37" s="35"/>
      <c r="L37" s="35"/>
      <c r="M37" s="35"/>
      <c r="N37" s="35"/>
      <c r="O37" s="35"/>
      <c r="P37" s="35"/>
      <c r="R37" t="s">
        <v>92</v>
      </c>
      <c r="S37" s="27">
        <f>-2*(S35-S36)</f>
        <v>552.2704</v>
      </c>
    </row>
    <row r="38" spans="2:19" ht="20" x14ac:dyDescent="0.25">
      <c r="B38" t="s">
        <v>38</v>
      </c>
      <c r="C38" s="27">
        <f>_xlfn.CHISQ.INV(0.95,C36)</f>
        <v>9.4877290367811575</v>
      </c>
      <c r="D38" s="10" t="s">
        <v>7</v>
      </c>
      <c r="E38" s="19" t="str">
        <f>IF(C37&lt;C38,"H0 cannot be rejected","H0 rejected")</f>
        <v>H0 rejected</v>
      </c>
      <c r="F38" s="19"/>
      <c r="G38" s="19"/>
      <c r="H38" s="19"/>
      <c r="J38" s="20" t="s">
        <v>94</v>
      </c>
      <c r="K38" s="20"/>
      <c r="L38" s="20"/>
      <c r="M38" s="20"/>
      <c r="N38" s="20"/>
      <c r="O38" s="20"/>
      <c r="P38" s="20"/>
      <c r="R38" t="s">
        <v>43</v>
      </c>
      <c r="S38" s="27">
        <v>346.42849999999999</v>
      </c>
    </row>
    <row r="39" spans="2:19" x14ac:dyDescent="0.2">
      <c r="R39" t="s">
        <v>44</v>
      </c>
      <c r="S39" s="27">
        <v>397.50599999999997</v>
      </c>
    </row>
    <row r="40" spans="2:19" x14ac:dyDescent="0.2">
      <c r="J40" t="s">
        <v>36</v>
      </c>
      <c r="K40">
        <f>COUNTA(S12:S31)-COUNTA(K12:K27)</f>
        <v>4</v>
      </c>
    </row>
    <row r="41" spans="2:19" x14ac:dyDescent="0.2">
      <c r="J41" t="s">
        <v>37</v>
      </c>
      <c r="K41" s="27">
        <f>-2*(K32-S36)</f>
        <v>36.030199999999979</v>
      </c>
    </row>
    <row r="42" spans="2:19" ht="20" x14ac:dyDescent="0.25">
      <c r="J42" t="s">
        <v>38</v>
      </c>
      <c r="K42" s="27">
        <f>_xlfn.CHISQ.INV(0.95,K40)</f>
        <v>9.4877290367811575</v>
      </c>
      <c r="L42" s="10" t="s">
        <v>7</v>
      </c>
      <c r="M42" s="19" t="str">
        <f>IF(K41&lt;K42,"H0 cannot be rejected","H0 rejected")</f>
        <v>H0 rejected</v>
      </c>
      <c r="N42" s="19"/>
      <c r="O42" s="19"/>
      <c r="P42" s="19"/>
    </row>
  </sheetData>
  <mergeCells count="11">
    <mergeCell ref="R10:X10"/>
    <mergeCell ref="B10:H10"/>
    <mergeCell ref="J10:P10"/>
    <mergeCell ref="M42:P42"/>
    <mergeCell ref="B24:H24"/>
    <mergeCell ref="J28:P28"/>
    <mergeCell ref="R32:X32"/>
    <mergeCell ref="B33:H33"/>
    <mergeCell ref="J37:P37"/>
    <mergeCell ref="E38:H38"/>
    <mergeCell ref="J38:P38"/>
  </mergeCells>
  <conditionalFormatting sqref="E38:H38">
    <cfRule type="cellIs" dxfId="233" priority="3" operator="equal">
      <formula>"H0 cannot be rejected"</formula>
    </cfRule>
    <cfRule type="cellIs" dxfId="232" priority="4" operator="equal">
      <formula>"H0 rejected"</formula>
    </cfRule>
  </conditionalFormatting>
  <conditionalFormatting sqref="M42:P42">
    <cfRule type="cellIs" dxfId="231" priority="1" operator="equal">
      <formula>"H0 cannot be rejected"</formula>
    </cfRule>
    <cfRule type="cellIs" dxfId="230" priority="2" operator="equal">
      <formula>"H0 rejected"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FA84-72F1-5D4F-9BCB-61EF9546BB2A}">
  <sheetPr>
    <tabColor rgb="FF92D050"/>
  </sheetPr>
  <dimension ref="B2:P40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</cols>
  <sheetData>
    <row r="2" spans="2:16" x14ac:dyDescent="0.2">
      <c r="B2" s="13" t="s">
        <v>15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2:16" x14ac:dyDescent="0.2">
      <c r="B4" s="12" t="s">
        <v>45</v>
      </c>
      <c r="C4" s="12" t="s">
        <v>46</v>
      </c>
      <c r="D4" s="2"/>
      <c r="E4" s="2"/>
      <c r="F4" s="2"/>
    </row>
    <row r="5" spans="2:16" x14ac:dyDescent="0.2">
      <c r="B5" s="5" t="s">
        <v>0</v>
      </c>
      <c r="C5" s="4" t="s">
        <v>5</v>
      </c>
      <c r="D5" s="2"/>
      <c r="E5" s="2"/>
      <c r="F5" s="2"/>
    </row>
    <row r="6" spans="2:16" x14ac:dyDescent="0.2">
      <c r="B6" s="5" t="s">
        <v>11</v>
      </c>
      <c r="C6" s="4" t="s">
        <v>6</v>
      </c>
      <c r="D6" s="2"/>
      <c r="E6" s="2"/>
      <c r="F6" s="2"/>
    </row>
    <row r="7" spans="2:16" x14ac:dyDescent="0.2">
      <c r="B7" s="5" t="s">
        <v>3</v>
      </c>
      <c r="C7" s="4" t="s">
        <v>6</v>
      </c>
      <c r="D7" s="2"/>
      <c r="E7" s="2"/>
      <c r="F7" s="2"/>
    </row>
    <row r="9" spans="2:16" x14ac:dyDescent="0.2">
      <c r="B9" s="18" t="s">
        <v>52</v>
      </c>
      <c r="C9" s="18"/>
      <c r="D9" s="18"/>
      <c r="E9" s="18"/>
      <c r="F9" s="18"/>
      <c r="G9" s="18"/>
      <c r="H9" s="18"/>
      <c r="J9" s="18" t="s">
        <v>53</v>
      </c>
      <c r="K9" s="18"/>
      <c r="L9" s="18"/>
      <c r="M9" s="18"/>
      <c r="N9" s="18"/>
      <c r="O9" s="18"/>
      <c r="P9" s="18"/>
    </row>
    <row r="10" spans="2:16" x14ac:dyDescent="0.2">
      <c r="B10" s="6" t="s">
        <v>34</v>
      </c>
      <c r="C10" s="6" t="s">
        <v>22</v>
      </c>
      <c r="D10" s="8" t="s">
        <v>23</v>
      </c>
      <c r="E10" s="8" t="s">
        <v>24</v>
      </c>
      <c r="F10" s="8" t="s">
        <v>25</v>
      </c>
      <c r="G10" s="8" t="s">
        <v>26</v>
      </c>
      <c r="H10" s="6" t="s">
        <v>27</v>
      </c>
      <c r="J10" s="6" t="s">
        <v>34</v>
      </c>
      <c r="K10" s="6" t="s">
        <v>22</v>
      </c>
      <c r="L10" s="6" t="s">
        <v>23</v>
      </c>
      <c r="M10" s="6" t="s">
        <v>24</v>
      </c>
      <c r="N10" s="6" t="s">
        <v>25</v>
      </c>
      <c r="O10" s="6" t="s">
        <v>26</v>
      </c>
      <c r="P10" s="6" t="s">
        <v>27</v>
      </c>
    </row>
    <row r="11" spans="2:16" x14ac:dyDescent="0.2">
      <c r="B11" s="5">
        <v>0</v>
      </c>
      <c r="C11" s="5" t="s">
        <v>28</v>
      </c>
      <c r="D11" s="23">
        <v>1.6333105037246001</v>
      </c>
      <c r="E11" s="32">
        <v>0.71544579288668197</v>
      </c>
      <c r="F11" s="32">
        <v>2.2829269805815899</v>
      </c>
      <c r="G11" s="30">
        <v>2.2434669899782999E-2</v>
      </c>
      <c r="H11" s="5" t="s">
        <v>29</v>
      </c>
      <c r="J11" s="5">
        <v>0</v>
      </c>
      <c r="K11" s="5" t="s">
        <v>28</v>
      </c>
      <c r="L11" s="23">
        <v>1.38834749532604</v>
      </c>
      <c r="M11" s="32">
        <v>0.75732901741508996</v>
      </c>
      <c r="N11" s="32">
        <v>1.8332157667280899</v>
      </c>
      <c r="O11" s="30">
        <v>6.6770490075248101E-2</v>
      </c>
      <c r="P11" s="5" t="s">
        <v>29</v>
      </c>
    </row>
    <row r="12" spans="2:16" x14ac:dyDescent="0.2">
      <c r="B12" s="5">
        <v>1</v>
      </c>
      <c r="C12" s="5" t="s">
        <v>55</v>
      </c>
      <c r="D12" s="21">
        <v>0</v>
      </c>
      <c r="E12" s="32">
        <v>0.3553522728638</v>
      </c>
      <c r="F12" s="32">
        <v>0</v>
      </c>
      <c r="G12" s="30">
        <v>1</v>
      </c>
      <c r="H12" s="11" t="s">
        <v>30</v>
      </c>
      <c r="J12" s="5">
        <v>1</v>
      </c>
      <c r="K12" s="5" t="s">
        <v>64</v>
      </c>
      <c r="L12" s="21">
        <v>0</v>
      </c>
      <c r="M12" s="32">
        <v>0.32776514278944802</v>
      </c>
      <c r="N12" s="32">
        <v>0</v>
      </c>
      <c r="O12" s="30">
        <v>1</v>
      </c>
      <c r="P12" s="11" t="s">
        <v>30</v>
      </c>
    </row>
    <row r="13" spans="2:16" x14ac:dyDescent="0.2">
      <c r="B13" s="5">
        <v>2</v>
      </c>
      <c r="C13" s="5" t="s">
        <v>56</v>
      </c>
      <c r="D13" s="23">
        <v>-0.175842006027503</v>
      </c>
      <c r="E13" s="32">
        <v>0.32684027748981898</v>
      </c>
      <c r="F13" s="32">
        <v>-0.53800592564048599</v>
      </c>
      <c r="G13" s="30">
        <v>0.59057295765582096</v>
      </c>
      <c r="H13" s="5" t="s">
        <v>29</v>
      </c>
      <c r="J13" s="5">
        <v>2</v>
      </c>
      <c r="K13" s="5" t="s">
        <v>66</v>
      </c>
      <c r="L13" s="21">
        <v>0</v>
      </c>
      <c r="M13" s="32">
        <v>0.35405730118244899</v>
      </c>
      <c r="N13" s="32">
        <v>0</v>
      </c>
      <c r="O13" s="30">
        <v>1</v>
      </c>
      <c r="P13" s="11" t="s">
        <v>30</v>
      </c>
    </row>
    <row r="14" spans="2:16" x14ac:dyDescent="0.2">
      <c r="B14" s="5">
        <v>3</v>
      </c>
      <c r="C14" s="5" t="s">
        <v>57</v>
      </c>
      <c r="D14" s="23">
        <v>-14.032074544364599</v>
      </c>
      <c r="E14" s="32">
        <v>7.9050871337208299</v>
      </c>
      <c r="F14" s="32">
        <v>-1.7750689280207701</v>
      </c>
      <c r="G14" s="30">
        <v>7.5886506728438205E-2</v>
      </c>
      <c r="H14" s="5" t="s">
        <v>29</v>
      </c>
      <c r="J14" s="5">
        <v>3</v>
      </c>
      <c r="K14" s="5" t="s">
        <v>68</v>
      </c>
      <c r="L14" s="23">
        <v>-18.4633354878479</v>
      </c>
      <c r="M14" s="32">
        <v>6.6776653413759002</v>
      </c>
      <c r="N14" s="32">
        <v>-2.76493872393486</v>
      </c>
      <c r="O14" s="30">
        <v>5.6933489509438601E-3</v>
      </c>
      <c r="P14" s="5" t="s">
        <v>29</v>
      </c>
    </row>
    <row r="15" spans="2:16" x14ac:dyDescent="0.2">
      <c r="B15" s="5">
        <v>4</v>
      </c>
      <c r="C15" s="5" t="s">
        <v>58</v>
      </c>
      <c r="D15" s="23">
        <v>-1.0989740836269299</v>
      </c>
      <c r="E15" s="32">
        <v>0.15663139088274899</v>
      </c>
      <c r="F15" s="32">
        <v>-7.0163080173986199</v>
      </c>
      <c r="G15" s="30">
        <v>2.27817764653082E-12</v>
      </c>
      <c r="H15" s="5" t="s">
        <v>29</v>
      </c>
      <c r="J15" s="5">
        <v>4</v>
      </c>
      <c r="K15" s="5" t="s">
        <v>70</v>
      </c>
      <c r="L15" s="23">
        <v>-1.1406047089028599</v>
      </c>
      <c r="M15" s="32">
        <v>0.24176329341055899</v>
      </c>
      <c r="N15" s="32">
        <v>-4.7178572595216099</v>
      </c>
      <c r="O15" s="30">
        <v>2.3834161850810802E-6</v>
      </c>
      <c r="P15" s="5" t="s">
        <v>29</v>
      </c>
    </row>
    <row r="16" spans="2:16" x14ac:dyDescent="0.2">
      <c r="B16" s="5">
        <v>5</v>
      </c>
      <c r="C16" s="5" t="s">
        <v>47</v>
      </c>
      <c r="D16" s="23">
        <v>1.4476301503962601</v>
      </c>
      <c r="E16" s="32">
        <v>0.55403769999454699</v>
      </c>
      <c r="F16" s="32">
        <v>2.6128730055924199</v>
      </c>
      <c r="G16" s="30">
        <v>8.9784657582820896E-3</v>
      </c>
      <c r="H16" s="5" t="s">
        <v>29</v>
      </c>
      <c r="J16" s="5">
        <v>5</v>
      </c>
      <c r="K16" s="5" t="s">
        <v>47</v>
      </c>
      <c r="L16" s="23">
        <v>3.4295743612645402</v>
      </c>
      <c r="M16" s="32">
        <v>0.88784216989067599</v>
      </c>
      <c r="N16" s="32">
        <v>3.8628198542167</v>
      </c>
      <c r="O16" s="30">
        <v>1.12085664367711E-4</v>
      </c>
      <c r="P16" s="5" t="s">
        <v>29</v>
      </c>
    </row>
    <row r="17" spans="2:16" x14ac:dyDescent="0.2">
      <c r="B17" s="5">
        <v>6</v>
      </c>
      <c r="C17" s="5" t="s">
        <v>59</v>
      </c>
      <c r="D17" s="21">
        <v>0</v>
      </c>
      <c r="E17" s="32">
        <v>0.31117614394676701</v>
      </c>
      <c r="F17" s="32">
        <v>0</v>
      </c>
      <c r="G17" s="30">
        <v>1</v>
      </c>
      <c r="H17" s="11" t="s">
        <v>30</v>
      </c>
      <c r="J17" s="5">
        <v>6</v>
      </c>
      <c r="K17" s="5" t="s">
        <v>83</v>
      </c>
      <c r="L17" s="21">
        <v>0</v>
      </c>
      <c r="M17" s="32">
        <v>0.42829423622025797</v>
      </c>
      <c r="N17" s="32">
        <v>0</v>
      </c>
      <c r="O17" s="30">
        <v>1</v>
      </c>
      <c r="P17" s="11" t="s">
        <v>30</v>
      </c>
    </row>
    <row r="18" spans="2:16" x14ac:dyDescent="0.2">
      <c r="B18" s="5">
        <v>7</v>
      </c>
      <c r="C18" s="5" t="s">
        <v>60</v>
      </c>
      <c r="D18" s="23">
        <v>-1.27524278958415E-4</v>
      </c>
      <c r="E18" s="32">
        <v>0.25949765364069799</v>
      </c>
      <c r="F18" s="32">
        <v>-4.9142748371430798E-4</v>
      </c>
      <c r="G18" s="30">
        <v>0.999607897613772</v>
      </c>
      <c r="H18" s="5" t="s">
        <v>29</v>
      </c>
      <c r="J18" s="5">
        <v>7</v>
      </c>
      <c r="K18" s="5" t="s">
        <v>84</v>
      </c>
      <c r="L18" s="21">
        <v>0</v>
      </c>
      <c r="M18" s="32">
        <v>0.57511427039266505</v>
      </c>
      <c r="N18" s="32">
        <v>0</v>
      </c>
      <c r="O18" s="30">
        <v>1</v>
      </c>
      <c r="P18" s="11" t="s">
        <v>30</v>
      </c>
    </row>
    <row r="19" spans="2:16" x14ac:dyDescent="0.2">
      <c r="B19" s="5">
        <v>8</v>
      </c>
      <c r="C19" s="5" t="s">
        <v>61</v>
      </c>
      <c r="D19" s="23">
        <v>-0.12212554627036901</v>
      </c>
      <c r="E19" s="32">
        <v>0.27796740232300698</v>
      </c>
      <c r="F19" s="32">
        <v>-0.43935204362004698</v>
      </c>
      <c r="G19" s="30">
        <v>0.66040646940784797</v>
      </c>
      <c r="H19" s="5" t="s">
        <v>29</v>
      </c>
      <c r="J19" s="5">
        <v>8</v>
      </c>
      <c r="K19" s="5" t="s">
        <v>85</v>
      </c>
      <c r="L19" s="23">
        <v>-3.2473774649687601</v>
      </c>
      <c r="M19" s="32">
        <v>0.905099734087216</v>
      </c>
      <c r="N19" s="32">
        <v>-3.5878669970483501</v>
      </c>
      <c r="O19" s="30">
        <v>3.3339427369960501E-4</v>
      </c>
      <c r="P19" s="5" t="s">
        <v>29</v>
      </c>
    </row>
    <row r="20" spans="2:16" x14ac:dyDescent="0.2">
      <c r="B20" s="5">
        <v>9</v>
      </c>
      <c r="C20" s="5" t="s">
        <v>62</v>
      </c>
      <c r="D20" s="23">
        <v>-0.44329160615500302</v>
      </c>
      <c r="E20" s="32">
        <v>0.12477844782429599</v>
      </c>
      <c r="F20" s="32">
        <v>-3.5526295917642101</v>
      </c>
      <c r="G20" s="30">
        <v>3.81401102666822E-4</v>
      </c>
      <c r="H20" s="5" t="s">
        <v>29</v>
      </c>
      <c r="J20" s="5">
        <v>9</v>
      </c>
      <c r="K20" s="5" t="s">
        <v>86</v>
      </c>
      <c r="L20" s="23">
        <v>-2.0953306787341401</v>
      </c>
      <c r="M20" s="32">
        <v>0.52439009944624304</v>
      </c>
      <c r="N20" s="32">
        <v>-3.99574797645267</v>
      </c>
      <c r="O20" s="30">
        <v>6.4490312283726995E-5</v>
      </c>
      <c r="P20" s="5" t="s">
        <v>29</v>
      </c>
    </row>
    <row r="21" spans="2:16" x14ac:dyDescent="0.2">
      <c r="B21" s="12">
        <v>10</v>
      </c>
      <c r="C21" s="12" t="s">
        <v>33</v>
      </c>
      <c r="D21" s="33">
        <v>1.20443996295472</v>
      </c>
      <c r="E21" s="34">
        <v>0.49870941078167402</v>
      </c>
      <c r="F21" s="34">
        <v>2.41511376548296</v>
      </c>
      <c r="G21" s="31">
        <v>1.5730295641843198E-2</v>
      </c>
      <c r="H21" s="12" t="s">
        <v>29</v>
      </c>
      <c r="J21" s="5">
        <v>10</v>
      </c>
      <c r="K21" s="5" t="s">
        <v>33</v>
      </c>
      <c r="L21" s="23">
        <v>1.1366669695981899</v>
      </c>
      <c r="M21" s="32">
        <v>0.73045274864322995</v>
      </c>
      <c r="N21" s="32">
        <v>1.5561129336695301</v>
      </c>
      <c r="O21" s="30">
        <v>0.119681240015023</v>
      </c>
      <c r="P21" s="5" t="s">
        <v>29</v>
      </c>
    </row>
    <row r="22" spans="2:16" x14ac:dyDescent="0.2">
      <c r="B22" s="16" t="s">
        <v>35</v>
      </c>
      <c r="C22" s="16"/>
      <c r="D22" s="16"/>
      <c r="E22" s="16"/>
      <c r="F22" s="16"/>
      <c r="G22" s="16"/>
      <c r="H22" s="16"/>
      <c r="J22" s="5">
        <v>11</v>
      </c>
      <c r="K22" s="5" t="s">
        <v>79</v>
      </c>
      <c r="L22" s="21">
        <v>0</v>
      </c>
      <c r="M22" s="32">
        <v>0.31923592372731602</v>
      </c>
      <c r="N22" s="32">
        <v>0</v>
      </c>
      <c r="O22" s="30">
        <v>1</v>
      </c>
      <c r="P22" s="11" t="s">
        <v>30</v>
      </c>
    </row>
    <row r="23" spans="2:16" x14ac:dyDescent="0.2">
      <c r="B23" t="s">
        <v>39</v>
      </c>
      <c r="C23">
        <v>11</v>
      </c>
      <c r="J23" s="5">
        <v>12</v>
      </c>
      <c r="K23" s="5" t="s">
        <v>80</v>
      </c>
      <c r="L23" s="21">
        <v>0</v>
      </c>
      <c r="M23" s="32">
        <v>0.329644052925537</v>
      </c>
      <c r="N23" s="32">
        <v>0</v>
      </c>
      <c r="O23" s="30">
        <v>1</v>
      </c>
      <c r="P23" s="11" t="s">
        <v>30</v>
      </c>
    </row>
    <row r="24" spans="2:16" x14ac:dyDescent="0.2">
      <c r="B24" t="s">
        <v>40</v>
      </c>
      <c r="C24">
        <v>85</v>
      </c>
      <c r="J24" s="5">
        <v>13</v>
      </c>
      <c r="K24" s="5" t="s">
        <v>81</v>
      </c>
      <c r="L24" s="21">
        <v>0</v>
      </c>
      <c r="M24" s="32">
        <v>0.42843282623365803</v>
      </c>
      <c r="N24" s="32">
        <v>0</v>
      </c>
      <c r="O24" s="30">
        <v>1</v>
      </c>
      <c r="P24" s="11" t="s">
        <v>30</v>
      </c>
    </row>
    <row r="25" spans="2:16" x14ac:dyDescent="0.2">
      <c r="B25" t="s">
        <v>41</v>
      </c>
      <c r="C25" s="27">
        <v>-323.60930000000002</v>
      </c>
      <c r="J25" s="12">
        <v>14</v>
      </c>
      <c r="K25" s="12" t="s">
        <v>82</v>
      </c>
      <c r="L25" s="33">
        <v>-0.24822122126127799</v>
      </c>
      <c r="M25" s="34">
        <v>0.119020200645436</v>
      </c>
      <c r="N25" s="34">
        <v>-2.0855385885353499</v>
      </c>
      <c r="O25" s="31">
        <v>3.7020439189652199E-2</v>
      </c>
      <c r="P25" s="12" t="s">
        <v>29</v>
      </c>
    </row>
    <row r="26" spans="2:16" x14ac:dyDescent="0.2">
      <c r="B26" t="s">
        <v>42</v>
      </c>
      <c r="C26" s="27">
        <v>-253.67070000000001</v>
      </c>
      <c r="J26" s="16" t="s">
        <v>35</v>
      </c>
      <c r="K26" s="16"/>
      <c r="L26" s="16"/>
      <c r="M26" s="16"/>
      <c r="N26" s="16"/>
      <c r="O26" s="16"/>
      <c r="P26" s="16"/>
    </row>
    <row r="27" spans="2:16" x14ac:dyDescent="0.2">
      <c r="B27" t="s">
        <v>92</v>
      </c>
      <c r="C27" s="27">
        <f>-2*(C25-C26)</f>
        <v>139.87720000000002</v>
      </c>
      <c r="J27" t="s">
        <v>39</v>
      </c>
      <c r="K27">
        <v>15</v>
      </c>
      <c r="L27" s="7"/>
      <c r="M27" s="7"/>
      <c r="N27" s="7"/>
      <c r="O27" s="7"/>
    </row>
    <row r="28" spans="2:16" x14ac:dyDescent="0.2">
      <c r="B28" t="s">
        <v>43</v>
      </c>
      <c r="C28" s="27">
        <v>529.34140000000002</v>
      </c>
      <c r="J28" t="s">
        <v>40</v>
      </c>
      <c r="K28">
        <v>85</v>
      </c>
      <c r="L28" s="7"/>
      <c r="M28" s="7"/>
      <c r="N28" s="7"/>
      <c r="O28" s="7"/>
    </row>
    <row r="29" spans="2:16" x14ac:dyDescent="0.2">
      <c r="B29" t="s">
        <v>44</v>
      </c>
      <c r="C29" s="27">
        <v>556.2106</v>
      </c>
      <c r="J29" t="s">
        <v>41</v>
      </c>
      <c r="K29" s="27">
        <f>C25</f>
        <v>-323.60930000000002</v>
      </c>
      <c r="L29" s="7"/>
      <c r="M29" s="7"/>
      <c r="N29" s="7"/>
      <c r="O29" s="7"/>
    </row>
    <row r="30" spans="2:16" x14ac:dyDescent="0.2">
      <c r="J30" t="s">
        <v>42</v>
      </c>
      <c r="K30" s="27">
        <v>-207.83590000000001</v>
      </c>
      <c r="L30" s="7"/>
      <c r="M30" s="7"/>
      <c r="N30" s="7"/>
      <c r="O30" s="7"/>
    </row>
    <row r="31" spans="2:16" x14ac:dyDescent="0.2">
      <c r="B31" s="35" t="s">
        <v>97</v>
      </c>
      <c r="C31" s="35"/>
      <c r="D31" s="35"/>
      <c r="E31" s="35"/>
      <c r="F31" s="35"/>
      <c r="G31" s="35"/>
      <c r="H31" s="35"/>
      <c r="J31" t="s">
        <v>92</v>
      </c>
      <c r="K31" s="27">
        <f>-2*(K29-K30)</f>
        <v>231.54680000000002</v>
      </c>
      <c r="L31" s="7"/>
      <c r="M31" s="7"/>
      <c r="N31" s="7"/>
      <c r="O31" s="7"/>
    </row>
    <row r="32" spans="2:16" x14ac:dyDescent="0.2">
      <c r="B32" s="1" t="s">
        <v>93</v>
      </c>
      <c r="C32" s="1"/>
      <c r="D32" s="1"/>
      <c r="E32" s="1"/>
      <c r="F32" s="1"/>
      <c r="G32" s="1"/>
      <c r="H32" s="1"/>
      <c r="J32" t="s">
        <v>43</v>
      </c>
      <c r="K32" s="27">
        <v>445.67180000000002</v>
      </c>
    </row>
    <row r="33" spans="2:16" x14ac:dyDescent="0.2">
      <c r="J33" t="s">
        <v>44</v>
      </c>
      <c r="K33" s="27">
        <v>482.31150000000002</v>
      </c>
    </row>
    <row r="34" spans="2:16" x14ac:dyDescent="0.2">
      <c r="B34" t="s">
        <v>36</v>
      </c>
      <c r="C34">
        <f>K27-C23</f>
        <v>4</v>
      </c>
    </row>
    <row r="35" spans="2:16" x14ac:dyDescent="0.2">
      <c r="B35" t="s">
        <v>37</v>
      </c>
      <c r="C35" s="27">
        <f>-2*(C26-K30)</f>
        <v>91.669600000000003</v>
      </c>
      <c r="J35" s="9"/>
      <c r="K35" s="9"/>
      <c r="L35" s="9"/>
      <c r="M35" s="9"/>
      <c r="N35" s="9"/>
      <c r="O35" s="9"/>
      <c r="P35" s="9"/>
    </row>
    <row r="36" spans="2:16" ht="20" x14ac:dyDescent="0.25">
      <c r="B36" t="s">
        <v>38</v>
      </c>
      <c r="C36" s="27">
        <f>_xlfn.CHISQ.INV(0.95,C34)</f>
        <v>9.4877290367811575</v>
      </c>
      <c r="D36" s="10" t="s">
        <v>7</v>
      </c>
      <c r="E36" s="19" t="str">
        <f>IF(C35&lt;C36,"H0 cannot be rejected","H0 rejected")</f>
        <v>H0 rejected</v>
      </c>
      <c r="F36" s="19"/>
      <c r="G36" s="19"/>
      <c r="H36" s="19"/>
      <c r="J36" s="1"/>
      <c r="K36" s="1"/>
      <c r="L36" s="1"/>
      <c r="M36" s="1"/>
      <c r="N36" s="1"/>
      <c r="O36" s="1"/>
      <c r="P36" s="1"/>
    </row>
    <row r="40" spans="2:16" x14ac:dyDescent="0.2">
      <c r="L40" s="3"/>
      <c r="M40" s="15"/>
      <c r="N40" s="14"/>
      <c r="O40" s="14"/>
      <c r="P40" s="14"/>
    </row>
  </sheetData>
  <mergeCells count="6">
    <mergeCell ref="B22:H22"/>
    <mergeCell ref="J26:P26"/>
    <mergeCell ref="B31:H31"/>
    <mergeCell ref="E36:H36"/>
    <mergeCell ref="B9:H9"/>
    <mergeCell ref="J9:P9"/>
  </mergeCells>
  <conditionalFormatting sqref="E36:H36">
    <cfRule type="cellIs" dxfId="229" priority="3" operator="equal">
      <formula>"H0 cannot be rejected"</formula>
    </cfRule>
    <cfRule type="cellIs" dxfId="228" priority="4" operator="equal">
      <formula>"H0 rejected"</formula>
    </cfRule>
  </conditionalFormatting>
  <conditionalFormatting sqref="M40:P40">
    <cfRule type="cellIs" dxfId="227" priority="1" operator="equal">
      <formula>"H0 cannot be rejected"</formula>
    </cfRule>
    <cfRule type="cellIs" dxfId="226" priority="2" operator="equal">
      <formula>"H0 rejected"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E879-F416-4748-8F42-05E8BF3C1DB7}">
  <dimension ref="B2:P38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</cols>
  <sheetData>
    <row r="2" spans="2:16" x14ac:dyDescent="0.2">
      <c r="B2" s="13" t="s">
        <v>16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2:16" x14ac:dyDescent="0.2">
      <c r="B4" s="12" t="s">
        <v>45</v>
      </c>
      <c r="C4" s="12" t="s">
        <v>46</v>
      </c>
      <c r="D4" s="2"/>
      <c r="E4" s="2"/>
      <c r="F4" s="2"/>
    </row>
    <row r="5" spans="2:16" x14ac:dyDescent="0.2">
      <c r="B5" s="5" t="s">
        <v>2</v>
      </c>
      <c r="C5" s="4" t="s">
        <v>5</v>
      </c>
      <c r="D5" s="2"/>
      <c r="E5" s="2"/>
      <c r="F5" s="2"/>
    </row>
    <row r="6" spans="2:16" x14ac:dyDescent="0.2">
      <c r="B6" s="5" t="s">
        <v>3</v>
      </c>
      <c r="C6" s="4" t="s">
        <v>6</v>
      </c>
      <c r="D6" s="2"/>
      <c r="E6" s="2"/>
      <c r="F6" s="2"/>
    </row>
    <row r="8" spans="2:16" x14ac:dyDescent="0.2">
      <c r="B8" s="18" t="s">
        <v>54</v>
      </c>
      <c r="C8" s="18"/>
      <c r="D8" s="18"/>
      <c r="E8" s="18"/>
      <c r="F8" s="18"/>
      <c r="G8" s="18"/>
      <c r="H8" s="18"/>
      <c r="J8" s="18" t="s">
        <v>53</v>
      </c>
      <c r="K8" s="18"/>
      <c r="L8" s="18"/>
      <c r="M8" s="18"/>
      <c r="N8" s="18"/>
      <c r="O8" s="18"/>
      <c r="P8" s="18"/>
    </row>
    <row r="9" spans="2:16" x14ac:dyDescent="0.2">
      <c r="B9" s="6" t="s">
        <v>34</v>
      </c>
      <c r="C9" s="6" t="s">
        <v>22</v>
      </c>
      <c r="D9" s="8" t="s">
        <v>23</v>
      </c>
      <c r="E9" s="8" t="s">
        <v>24</v>
      </c>
      <c r="F9" s="8" t="s">
        <v>25</v>
      </c>
      <c r="G9" s="8" t="s">
        <v>26</v>
      </c>
      <c r="H9" s="6" t="s">
        <v>27</v>
      </c>
      <c r="J9" s="6" t="s">
        <v>34</v>
      </c>
      <c r="K9" s="6" t="s">
        <v>22</v>
      </c>
      <c r="L9" s="6" t="s">
        <v>23</v>
      </c>
      <c r="M9" s="6" t="s">
        <v>24</v>
      </c>
      <c r="N9" s="6" t="s">
        <v>25</v>
      </c>
      <c r="O9" s="6" t="s">
        <v>26</v>
      </c>
      <c r="P9" s="6" t="s">
        <v>27</v>
      </c>
    </row>
    <row r="10" spans="2:16" x14ac:dyDescent="0.2">
      <c r="B10" s="5">
        <v>0</v>
      </c>
      <c r="C10" s="5" t="s">
        <v>32</v>
      </c>
      <c r="D10" s="23">
        <v>4.0615761360536098</v>
      </c>
      <c r="E10" s="32">
        <v>0.90351266751685899</v>
      </c>
      <c r="F10" s="32">
        <v>4.4953173121701901</v>
      </c>
      <c r="G10" s="30">
        <v>6.9466277508034503E-6</v>
      </c>
      <c r="H10" s="5" t="s">
        <v>29</v>
      </c>
      <c r="J10" s="5">
        <v>0</v>
      </c>
      <c r="K10" s="5" t="s">
        <v>32</v>
      </c>
      <c r="L10" s="23">
        <v>4.0615761360536098</v>
      </c>
      <c r="M10" s="32">
        <v>0.90351266751685899</v>
      </c>
      <c r="N10" s="32">
        <v>4.4953173121701901</v>
      </c>
      <c r="O10" s="30">
        <v>6.9466277508034503E-6</v>
      </c>
      <c r="P10" s="5" t="s">
        <v>29</v>
      </c>
    </row>
    <row r="11" spans="2:16" x14ac:dyDescent="0.2">
      <c r="B11" s="5">
        <v>1</v>
      </c>
      <c r="C11" s="5" t="s">
        <v>55</v>
      </c>
      <c r="D11" s="21">
        <v>0</v>
      </c>
      <c r="E11" s="32">
        <v>0.30138256407428998</v>
      </c>
      <c r="F11" s="32">
        <v>0</v>
      </c>
      <c r="G11" s="30">
        <v>1</v>
      </c>
      <c r="H11" s="11" t="s">
        <v>30</v>
      </c>
      <c r="J11" s="5">
        <v>1</v>
      </c>
      <c r="K11" s="5" t="s">
        <v>72</v>
      </c>
      <c r="L11" s="21">
        <v>0</v>
      </c>
      <c r="M11" s="32">
        <v>0.30138256407428998</v>
      </c>
      <c r="N11" s="32">
        <v>0</v>
      </c>
      <c r="O11" s="30">
        <v>1</v>
      </c>
      <c r="P11" s="11" t="s">
        <v>30</v>
      </c>
    </row>
    <row r="12" spans="2:16" x14ac:dyDescent="0.2">
      <c r="B12" s="5">
        <v>2</v>
      </c>
      <c r="C12" s="5" t="s">
        <v>56</v>
      </c>
      <c r="D12" s="23">
        <v>-0.43307939958212799</v>
      </c>
      <c r="E12" s="32">
        <v>0.21476873263085999</v>
      </c>
      <c r="F12" s="32">
        <v>-2.01649185278051</v>
      </c>
      <c r="G12" s="30">
        <v>4.37485693065413E-2</v>
      </c>
      <c r="H12" s="5" t="s">
        <v>29</v>
      </c>
      <c r="J12" s="5">
        <v>2</v>
      </c>
      <c r="K12" s="5" t="s">
        <v>74</v>
      </c>
      <c r="L12" s="23">
        <v>-0.43307939958212799</v>
      </c>
      <c r="M12" s="32">
        <v>0.21476873263085999</v>
      </c>
      <c r="N12" s="32">
        <v>-2.01649185278051</v>
      </c>
      <c r="O12" s="30">
        <v>4.37485693065413E-2</v>
      </c>
      <c r="P12" s="5" t="s">
        <v>29</v>
      </c>
    </row>
    <row r="13" spans="2:16" x14ac:dyDescent="0.2">
      <c r="B13" s="5">
        <v>3</v>
      </c>
      <c r="C13" s="5" t="s">
        <v>57</v>
      </c>
      <c r="D13" s="21">
        <v>0</v>
      </c>
      <c r="E13" s="32">
        <v>1.2103002590183101</v>
      </c>
      <c r="F13" s="32">
        <v>0</v>
      </c>
      <c r="G13" s="30">
        <v>1</v>
      </c>
      <c r="H13" s="11" t="s">
        <v>30</v>
      </c>
      <c r="J13" s="5">
        <v>3</v>
      </c>
      <c r="K13" s="5" t="s">
        <v>76</v>
      </c>
      <c r="L13" s="21">
        <v>0</v>
      </c>
      <c r="M13" s="32">
        <v>1.2103002590183101</v>
      </c>
      <c r="N13" s="32">
        <v>0</v>
      </c>
      <c r="O13" s="30">
        <v>1</v>
      </c>
      <c r="P13" s="11" t="s">
        <v>30</v>
      </c>
    </row>
    <row r="14" spans="2:16" x14ac:dyDescent="0.2">
      <c r="B14" s="5">
        <v>4</v>
      </c>
      <c r="C14" s="5" t="s">
        <v>58</v>
      </c>
      <c r="D14" s="23">
        <v>-5.4818218340651201</v>
      </c>
      <c r="E14" s="32">
        <v>0.93267159682471101</v>
      </c>
      <c r="F14" s="32">
        <v>-5.8775477378404402</v>
      </c>
      <c r="G14" s="30">
        <v>4.1638865688753396E-9</v>
      </c>
      <c r="H14" s="5" t="s">
        <v>29</v>
      </c>
      <c r="J14" s="5">
        <v>4</v>
      </c>
      <c r="K14" s="5" t="s">
        <v>78</v>
      </c>
      <c r="L14" s="23">
        <v>-5.4818218340651201</v>
      </c>
      <c r="M14" s="32">
        <v>0.93267159682471101</v>
      </c>
      <c r="N14" s="32">
        <v>-5.8775477378404402</v>
      </c>
      <c r="O14" s="30">
        <v>4.1638865688753396E-9</v>
      </c>
      <c r="P14" s="5" t="s">
        <v>29</v>
      </c>
    </row>
    <row r="15" spans="2:16" x14ac:dyDescent="0.2">
      <c r="B15" s="5">
        <v>5</v>
      </c>
      <c r="C15" s="5" t="s">
        <v>33</v>
      </c>
      <c r="D15" s="21">
        <v>0</v>
      </c>
      <c r="E15" s="32">
        <v>0.720834175766354</v>
      </c>
      <c r="F15" s="32">
        <v>0</v>
      </c>
      <c r="G15" s="30">
        <v>1</v>
      </c>
      <c r="H15" s="11" t="s">
        <v>30</v>
      </c>
      <c r="J15" s="5">
        <v>5</v>
      </c>
      <c r="K15" s="5" t="s">
        <v>33</v>
      </c>
      <c r="L15" s="21">
        <v>0</v>
      </c>
      <c r="M15" s="32">
        <v>0.720834175766354</v>
      </c>
      <c r="N15" s="32">
        <v>0</v>
      </c>
      <c r="O15" s="30">
        <v>1</v>
      </c>
      <c r="P15" s="11" t="s">
        <v>30</v>
      </c>
    </row>
    <row r="16" spans="2:16" x14ac:dyDescent="0.2">
      <c r="B16" s="5">
        <v>6</v>
      </c>
      <c r="C16" s="5" t="s">
        <v>59</v>
      </c>
      <c r="D16" s="21">
        <v>-3.3520852221614397E-2</v>
      </c>
      <c r="E16" s="32">
        <v>0.36439542629816202</v>
      </c>
      <c r="F16" s="32">
        <v>-9.1990320960248395E-2</v>
      </c>
      <c r="G16" s="30">
        <v>0.92670572973905996</v>
      </c>
      <c r="H16" s="11" t="s">
        <v>29</v>
      </c>
      <c r="J16" s="5">
        <v>6</v>
      </c>
      <c r="K16" s="5" t="s">
        <v>79</v>
      </c>
      <c r="L16" s="23">
        <v>-3.3520852221614397E-2</v>
      </c>
      <c r="M16" s="32">
        <v>0.36439542629816202</v>
      </c>
      <c r="N16" s="32">
        <v>-9.1990320960248395E-2</v>
      </c>
      <c r="O16" s="30">
        <v>0.92670572973905996</v>
      </c>
      <c r="P16" s="5" t="s">
        <v>29</v>
      </c>
    </row>
    <row r="17" spans="2:16" x14ac:dyDescent="0.2">
      <c r="B17" s="5">
        <v>7</v>
      </c>
      <c r="C17" s="5" t="s">
        <v>60</v>
      </c>
      <c r="D17" s="23">
        <v>-0.71228338199567498</v>
      </c>
      <c r="E17" s="32">
        <v>0.27842216608530601</v>
      </c>
      <c r="F17" s="32">
        <v>-2.5582854699055702</v>
      </c>
      <c r="G17" s="30">
        <v>1.0518970128319901E-2</v>
      </c>
      <c r="H17" s="5" t="s">
        <v>29</v>
      </c>
      <c r="J17" s="5">
        <v>7</v>
      </c>
      <c r="K17" s="5" t="s">
        <v>80</v>
      </c>
      <c r="L17" s="23">
        <v>-0.71228338199567498</v>
      </c>
      <c r="M17" s="32">
        <v>0.27842216608530601</v>
      </c>
      <c r="N17" s="32">
        <v>-2.5582854699055702</v>
      </c>
      <c r="O17" s="30">
        <v>1.0518970128319901E-2</v>
      </c>
      <c r="P17" s="5" t="s">
        <v>29</v>
      </c>
    </row>
    <row r="18" spans="2:16" x14ac:dyDescent="0.2">
      <c r="B18" s="5">
        <v>8</v>
      </c>
      <c r="C18" s="5" t="s">
        <v>61</v>
      </c>
      <c r="D18" s="23">
        <v>-0.57819474583855102</v>
      </c>
      <c r="E18" s="32">
        <v>0.75820861294928499</v>
      </c>
      <c r="F18" s="32">
        <v>-0.76258002871991204</v>
      </c>
      <c r="G18" s="30">
        <v>0.445713898803407</v>
      </c>
      <c r="H18" s="5" t="s">
        <v>29</v>
      </c>
      <c r="J18" s="5">
        <v>8</v>
      </c>
      <c r="K18" s="5" t="s">
        <v>81</v>
      </c>
      <c r="L18" s="23">
        <v>-0.57819474583855102</v>
      </c>
      <c r="M18" s="32">
        <v>0.75820861294928499</v>
      </c>
      <c r="N18" s="32">
        <v>-0.76258002871991204</v>
      </c>
      <c r="O18" s="30">
        <v>0.445713898803407</v>
      </c>
      <c r="P18" s="5" t="s">
        <v>29</v>
      </c>
    </row>
    <row r="19" spans="2:16" x14ac:dyDescent="0.2">
      <c r="B19" s="12">
        <v>9</v>
      </c>
      <c r="C19" s="12" t="s">
        <v>62</v>
      </c>
      <c r="D19" s="33">
        <v>-0.87606871627246696</v>
      </c>
      <c r="E19" s="34">
        <v>0.25550888606828598</v>
      </c>
      <c r="F19" s="34">
        <v>-3.4287211288547099</v>
      </c>
      <c r="G19" s="31">
        <v>6.0643229392232101E-4</v>
      </c>
      <c r="H19" s="12" t="s">
        <v>29</v>
      </c>
      <c r="J19" s="12">
        <v>9</v>
      </c>
      <c r="K19" s="12" t="s">
        <v>82</v>
      </c>
      <c r="L19" s="33">
        <v>-0.87606871627246696</v>
      </c>
      <c r="M19" s="34">
        <v>0.25550888606828598</v>
      </c>
      <c r="N19" s="34">
        <v>-3.4287211288547099</v>
      </c>
      <c r="O19" s="31">
        <v>6.0643229392232101E-4</v>
      </c>
      <c r="P19" s="12" t="s">
        <v>29</v>
      </c>
    </row>
    <row r="20" spans="2:16" x14ac:dyDescent="0.2">
      <c r="B20" s="16" t="s">
        <v>35</v>
      </c>
      <c r="C20" s="16"/>
      <c r="D20" s="16"/>
      <c r="E20" s="16"/>
      <c r="F20" s="16"/>
      <c r="G20" s="16"/>
      <c r="H20" s="16"/>
      <c r="J20" s="16" t="s">
        <v>35</v>
      </c>
      <c r="K20" s="16"/>
      <c r="L20" s="16"/>
      <c r="M20" s="16"/>
      <c r="N20" s="16"/>
      <c r="O20" s="16"/>
      <c r="P20" s="16"/>
    </row>
    <row r="21" spans="2:16" x14ac:dyDescent="0.2">
      <c r="B21" t="s">
        <v>39</v>
      </c>
      <c r="C21">
        <v>10</v>
      </c>
      <c r="J21" t="s">
        <v>39</v>
      </c>
      <c r="K21">
        <v>10</v>
      </c>
      <c r="L21" s="7"/>
      <c r="M21" s="7"/>
      <c r="N21" s="7"/>
      <c r="O21" s="7"/>
    </row>
    <row r="22" spans="2:16" x14ac:dyDescent="0.2">
      <c r="B22" t="s">
        <v>40</v>
      </c>
      <c r="C22">
        <v>99</v>
      </c>
      <c r="J22" t="s">
        <v>40</v>
      </c>
      <c r="K22">
        <v>99</v>
      </c>
      <c r="L22" s="7"/>
      <c r="M22" s="7"/>
      <c r="N22" s="7"/>
      <c r="O22" s="7"/>
    </row>
    <row r="23" spans="2:16" x14ac:dyDescent="0.2">
      <c r="B23" t="s">
        <v>41</v>
      </c>
      <c r="C23" s="27">
        <v>-380.25119999999998</v>
      </c>
      <c r="J23" t="s">
        <v>41</v>
      </c>
      <c r="K23" s="27">
        <f>C23</f>
        <v>-380.25119999999998</v>
      </c>
      <c r="L23" s="7"/>
      <c r="M23" s="7"/>
      <c r="N23" s="7"/>
      <c r="O23" s="7"/>
    </row>
    <row r="24" spans="2:16" x14ac:dyDescent="0.2">
      <c r="B24" t="s">
        <v>42</v>
      </c>
      <c r="C24" s="27">
        <v>-199.732</v>
      </c>
      <c r="J24" t="s">
        <v>42</v>
      </c>
      <c r="K24" s="27">
        <v>-199.732</v>
      </c>
      <c r="L24" s="7"/>
      <c r="M24" s="7"/>
      <c r="N24" s="7"/>
      <c r="O24" s="7"/>
    </row>
    <row r="25" spans="2:16" x14ac:dyDescent="0.2">
      <c r="B25" t="s">
        <v>92</v>
      </c>
      <c r="C25" s="27">
        <f>-2*(C23-C24)</f>
        <v>361.03839999999997</v>
      </c>
      <c r="J25" t="s">
        <v>92</v>
      </c>
      <c r="K25" s="27">
        <f>-2*(K23-K24)</f>
        <v>361.03839999999997</v>
      </c>
      <c r="L25" s="7"/>
      <c r="M25" s="7"/>
      <c r="N25" s="7"/>
      <c r="O25" s="7"/>
    </row>
    <row r="26" spans="2:16" x14ac:dyDescent="0.2">
      <c r="B26" t="s">
        <v>43</v>
      </c>
      <c r="C26" s="27">
        <v>419.464</v>
      </c>
      <c r="J26" t="s">
        <v>43</v>
      </c>
      <c r="K26" s="27">
        <v>419.464</v>
      </c>
    </row>
    <row r="27" spans="2:16" x14ac:dyDescent="0.2">
      <c r="B27" t="s">
        <v>44</v>
      </c>
      <c r="C27" s="27">
        <v>445.41520000000003</v>
      </c>
      <c r="J27" t="s">
        <v>44</v>
      </c>
      <c r="K27" s="27">
        <v>445.41520000000003</v>
      </c>
    </row>
    <row r="29" spans="2:16" x14ac:dyDescent="0.2">
      <c r="B29" s="35" t="s">
        <v>97</v>
      </c>
      <c r="C29" s="35"/>
      <c r="D29" s="35"/>
      <c r="E29" s="35"/>
      <c r="F29" s="35"/>
      <c r="G29" s="35"/>
      <c r="H29" s="35"/>
    </row>
    <row r="30" spans="2:16" x14ac:dyDescent="0.2">
      <c r="B30" s="1" t="s">
        <v>98</v>
      </c>
      <c r="C30" s="1"/>
      <c r="D30" s="1"/>
      <c r="E30" s="1"/>
      <c r="F30" s="1"/>
      <c r="G30" s="1"/>
      <c r="H30" s="1"/>
    </row>
    <row r="32" spans="2:16" x14ac:dyDescent="0.2">
      <c r="B32" t="s">
        <v>36</v>
      </c>
      <c r="C32">
        <f>K21-C21</f>
        <v>0</v>
      </c>
    </row>
    <row r="33" spans="2:16" x14ac:dyDescent="0.2">
      <c r="B33" t="s">
        <v>37</v>
      </c>
      <c r="C33" s="27">
        <f>-2*(C24-K24)</f>
        <v>0</v>
      </c>
      <c r="J33" s="9"/>
      <c r="K33" s="9"/>
      <c r="L33" s="9"/>
      <c r="M33" s="9"/>
      <c r="N33" s="9"/>
      <c r="O33" s="9"/>
      <c r="P33" s="9"/>
    </row>
    <row r="34" spans="2:16" ht="20" x14ac:dyDescent="0.25">
      <c r="B34" t="s">
        <v>48</v>
      </c>
      <c r="C34" s="22" t="s">
        <v>48</v>
      </c>
      <c r="D34" s="10" t="s">
        <v>7</v>
      </c>
      <c r="E34" s="19" t="s">
        <v>91</v>
      </c>
      <c r="F34" s="19"/>
      <c r="G34" s="19"/>
      <c r="H34" s="19"/>
      <c r="J34" s="1"/>
      <c r="K34" s="1"/>
      <c r="L34" s="1"/>
      <c r="M34" s="1"/>
      <c r="N34" s="1"/>
      <c r="O34" s="1"/>
      <c r="P34" s="1"/>
    </row>
    <row r="38" spans="2:16" x14ac:dyDescent="0.2">
      <c r="L38" s="3"/>
      <c r="M38" s="15"/>
      <c r="N38" s="14"/>
      <c r="O38" s="14"/>
      <c r="P38" s="14"/>
    </row>
  </sheetData>
  <mergeCells count="6">
    <mergeCell ref="B20:H20"/>
    <mergeCell ref="J20:P20"/>
    <mergeCell ref="B29:H29"/>
    <mergeCell ref="E34:H34"/>
    <mergeCell ref="B8:H8"/>
    <mergeCell ref="J8:P8"/>
  </mergeCells>
  <conditionalFormatting sqref="E34:H34">
    <cfRule type="cellIs" dxfId="225" priority="3" operator="equal">
      <formula>"H0 cannot be rejected"</formula>
    </cfRule>
    <cfRule type="cellIs" dxfId="224" priority="4" operator="equal">
      <formula>"H0 rejected"</formula>
    </cfRule>
  </conditionalFormatting>
  <conditionalFormatting sqref="M38:P38">
    <cfRule type="cellIs" dxfId="223" priority="1" operator="equal">
      <formula>"H0 cannot be rejected"</formula>
    </cfRule>
    <cfRule type="cellIs" dxfId="222" priority="2" operator="equal">
      <formula>"H0 rejected"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43D3-0D20-694C-B623-4E1D5AB18F6B}">
  <sheetPr>
    <tabColor rgb="FF00B0F0"/>
  </sheetPr>
  <dimension ref="B2:X48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  <col min="18" max="18" width="31.83203125" bestFit="1" customWidth="1"/>
    <col min="19" max="19" width="26" bestFit="1" customWidth="1"/>
    <col min="20" max="22" width="12.83203125" bestFit="1" customWidth="1"/>
    <col min="23" max="23" width="13.1640625" bestFit="1" customWidth="1"/>
    <col min="24" max="24" width="11.5" bestFit="1" customWidth="1"/>
    <col min="25" max="25" width="6.33203125" customWidth="1"/>
  </cols>
  <sheetData>
    <row r="2" spans="2:24" x14ac:dyDescent="0.2">
      <c r="B2" s="13" t="s">
        <v>17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2:24" x14ac:dyDescent="0.2">
      <c r="B4" s="12" t="s">
        <v>45</v>
      </c>
      <c r="C4" s="12" t="s">
        <v>46</v>
      </c>
      <c r="D4" s="2"/>
      <c r="E4" s="2"/>
      <c r="F4" s="2"/>
    </row>
    <row r="5" spans="2:24" x14ac:dyDescent="0.2">
      <c r="B5" s="5" t="s">
        <v>0</v>
      </c>
      <c r="C5" s="4" t="s">
        <v>5</v>
      </c>
      <c r="D5" s="2"/>
      <c r="E5" s="2"/>
      <c r="F5" s="2"/>
    </row>
    <row r="6" spans="2:24" x14ac:dyDescent="0.2">
      <c r="B6" s="5" t="s">
        <v>1</v>
      </c>
      <c r="C6" s="4" t="s">
        <v>5</v>
      </c>
      <c r="D6" s="2"/>
      <c r="E6" s="2"/>
      <c r="F6" s="2"/>
    </row>
    <row r="7" spans="2:24" x14ac:dyDescent="0.2">
      <c r="B7" s="5" t="s">
        <v>2</v>
      </c>
      <c r="C7" s="4" t="s">
        <v>5</v>
      </c>
      <c r="D7" s="2"/>
      <c r="E7" s="2"/>
      <c r="F7" s="2"/>
    </row>
    <row r="8" spans="2:24" x14ac:dyDescent="0.2">
      <c r="B8" s="5" t="s">
        <v>11</v>
      </c>
      <c r="C8" s="4" t="s">
        <v>6</v>
      </c>
      <c r="D8" s="2"/>
      <c r="E8" s="2"/>
      <c r="F8" s="2"/>
    </row>
    <row r="9" spans="2:24" x14ac:dyDescent="0.2">
      <c r="B9" s="5" t="s">
        <v>3</v>
      </c>
      <c r="C9" s="4" t="s">
        <v>6</v>
      </c>
      <c r="D9" s="2"/>
      <c r="E9" s="2"/>
      <c r="F9" s="2"/>
    </row>
    <row r="11" spans="2:24" x14ac:dyDescent="0.2">
      <c r="B11" s="18" t="s">
        <v>52</v>
      </c>
      <c r="C11" s="18"/>
      <c r="D11" s="18"/>
      <c r="E11" s="18"/>
      <c r="F11" s="18"/>
      <c r="G11" s="18"/>
      <c r="H11" s="18"/>
      <c r="J11" s="18" t="s">
        <v>51</v>
      </c>
      <c r="K11" s="18"/>
      <c r="L11" s="18"/>
      <c r="M11" s="18"/>
      <c r="N11" s="18"/>
      <c r="O11" s="18"/>
      <c r="P11" s="18"/>
      <c r="R11" s="18" t="s">
        <v>53</v>
      </c>
      <c r="S11" s="18"/>
      <c r="T11" s="18"/>
      <c r="U11" s="18"/>
      <c r="V11" s="18"/>
      <c r="W11" s="18"/>
      <c r="X11" s="18"/>
    </row>
    <row r="12" spans="2:24" x14ac:dyDescent="0.2">
      <c r="B12" s="6" t="s">
        <v>34</v>
      </c>
      <c r="C12" s="6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6" t="s">
        <v>27</v>
      </c>
      <c r="J12" s="6" t="s">
        <v>34</v>
      </c>
      <c r="K12" s="6" t="s">
        <v>22</v>
      </c>
      <c r="L12" s="6" t="s">
        <v>23</v>
      </c>
      <c r="M12" s="6" t="s">
        <v>24</v>
      </c>
      <c r="N12" s="6" t="s">
        <v>25</v>
      </c>
      <c r="O12" s="6" t="s">
        <v>26</v>
      </c>
      <c r="P12" s="6" t="s">
        <v>27</v>
      </c>
      <c r="R12" s="6" t="s">
        <v>34</v>
      </c>
      <c r="S12" s="6" t="s">
        <v>22</v>
      </c>
      <c r="T12" s="6" t="s">
        <v>23</v>
      </c>
      <c r="U12" s="6" t="s">
        <v>24</v>
      </c>
      <c r="V12" s="6" t="s">
        <v>25</v>
      </c>
      <c r="W12" s="6" t="s">
        <v>26</v>
      </c>
      <c r="X12" s="6" t="s">
        <v>27</v>
      </c>
    </row>
    <row r="13" spans="2:24" x14ac:dyDescent="0.2">
      <c r="B13" s="5">
        <v>0</v>
      </c>
      <c r="C13" s="5" t="s">
        <v>28</v>
      </c>
      <c r="D13" s="23">
        <v>1.67449660282239</v>
      </c>
      <c r="E13" s="32">
        <v>0.87760969163770797</v>
      </c>
      <c r="F13" s="32">
        <v>1.9080197253719999</v>
      </c>
      <c r="G13" s="30">
        <v>5.6388666862867698E-2</v>
      </c>
      <c r="H13" s="5" t="s">
        <v>29</v>
      </c>
      <c r="J13" s="5">
        <v>0</v>
      </c>
      <c r="K13" s="5" t="s">
        <v>28</v>
      </c>
      <c r="L13" s="23">
        <v>2.4970354311585998</v>
      </c>
      <c r="M13" s="32">
        <v>1.12004196016974</v>
      </c>
      <c r="N13" s="32">
        <v>2.2294123969964201</v>
      </c>
      <c r="O13" s="30">
        <v>2.5786478139324401E-2</v>
      </c>
      <c r="P13" s="5" t="s">
        <v>29</v>
      </c>
      <c r="R13" s="5">
        <v>0</v>
      </c>
      <c r="S13" s="5" t="s">
        <v>28</v>
      </c>
      <c r="T13" s="23">
        <v>2.6326413658819598</v>
      </c>
      <c r="U13" s="32">
        <v>1.48006305535974</v>
      </c>
      <c r="V13" s="32">
        <v>1.77873595070722</v>
      </c>
      <c r="W13" s="30">
        <v>7.5283062229310305E-2</v>
      </c>
      <c r="X13" s="5" t="s">
        <v>29</v>
      </c>
    </row>
    <row r="14" spans="2:24" x14ac:dyDescent="0.2">
      <c r="B14" s="5">
        <v>1</v>
      </c>
      <c r="C14" s="5" t="s">
        <v>55</v>
      </c>
      <c r="D14" s="21">
        <v>0</v>
      </c>
      <c r="E14" s="32">
        <v>0.431695188205727</v>
      </c>
      <c r="F14" s="32">
        <v>0</v>
      </c>
      <c r="G14" s="30">
        <v>1</v>
      </c>
      <c r="H14" s="11" t="s">
        <v>30</v>
      </c>
      <c r="J14" s="5">
        <v>1</v>
      </c>
      <c r="K14" s="5" t="s">
        <v>63</v>
      </c>
      <c r="L14" s="21">
        <v>0</v>
      </c>
      <c r="M14" s="32">
        <v>0.58254340659833004</v>
      </c>
      <c r="N14" s="32">
        <v>0</v>
      </c>
      <c r="O14" s="30">
        <v>1</v>
      </c>
      <c r="P14" s="11" t="s">
        <v>30</v>
      </c>
      <c r="R14" s="5">
        <v>1</v>
      </c>
      <c r="S14" s="5" t="s">
        <v>64</v>
      </c>
      <c r="T14" s="21">
        <v>0</v>
      </c>
      <c r="U14" s="32">
        <v>0.82294316305422699</v>
      </c>
      <c r="V14" s="32">
        <v>0</v>
      </c>
      <c r="W14" s="30">
        <v>1</v>
      </c>
      <c r="X14" s="11" t="s">
        <v>30</v>
      </c>
    </row>
    <row r="15" spans="2:24" x14ac:dyDescent="0.2">
      <c r="B15" s="5">
        <v>2</v>
      </c>
      <c r="C15" s="5" t="s">
        <v>56</v>
      </c>
      <c r="D15" s="21">
        <v>0</v>
      </c>
      <c r="E15" s="32">
        <v>0.238269945453842</v>
      </c>
      <c r="F15" s="32">
        <v>0</v>
      </c>
      <c r="G15" s="30">
        <v>1</v>
      </c>
      <c r="H15" s="11" t="s">
        <v>30</v>
      </c>
      <c r="J15" s="5">
        <v>2</v>
      </c>
      <c r="K15" s="5" t="s">
        <v>65</v>
      </c>
      <c r="L15" s="21">
        <v>0</v>
      </c>
      <c r="M15" s="32">
        <v>0.25586357252484698</v>
      </c>
      <c r="N15" s="32">
        <v>0</v>
      </c>
      <c r="O15" s="30">
        <v>1</v>
      </c>
      <c r="P15" s="11" t="s">
        <v>30</v>
      </c>
      <c r="R15" s="5">
        <v>2</v>
      </c>
      <c r="S15" s="5" t="s">
        <v>66</v>
      </c>
      <c r="T15" s="23">
        <v>-1.7310052356194001E-2</v>
      </c>
      <c r="U15" s="32">
        <v>0.43846754813030397</v>
      </c>
      <c r="V15" s="32">
        <v>-3.9478525674264402E-2</v>
      </c>
      <c r="W15" s="30">
        <v>0.96850887419693499</v>
      </c>
      <c r="X15" s="5" t="s">
        <v>29</v>
      </c>
    </row>
    <row r="16" spans="2:24" x14ac:dyDescent="0.2">
      <c r="B16" s="5">
        <v>3</v>
      </c>
      <c r="C16" s="5" t="s">
        <v>57</v>
      </c>
      <c r="D16" s="23">
        <v>-4.5902345554746701E-3</v>
      </c>
      <c r="E16" s="32">
        <v>0.17345080203365801</v>
      </c>
      <c r="F16" s="32">
        <v>-2.6464187548604801E-2</v>
      </c>
      <c r="G16" s="30">
        <v>0.97888709778438798</v>
      </c>
      <c r="H16" s="5" t="s">
        <v>29</v>
      </c>
      <c r="J16" s="5">
        <v>3</v>
      </c>
      <c r="K16" s="5" t="s">
        <v>67</v>
      </c>
      <c r="L16" s="23">
        <v>-4.5491675395501703E-2</v>
      </c>
      <c r="M16" s="32">
        <v>0.18021840583040399</v>
      </c>
      <c r="N16" s="32">
        <v>-0.252425245833724</v>
      </c>
      <c r="O16" s="30">
        <v>0.80071238845619797</v>
      </c>
      <c r="P16" s="5" t="s">
        <v>29</v>
      </c>
      <c r="R16" s="5">
        <v>3</v>
      </c>
      <c r="S16" s="5" t="s">
        <v>68</v>
      </c>
      <c r="T16" s="23">
        <v>-0.189393688693827</v>
      </c>
      <c r="U16" s="32">
        <v>0.24109616986674301</v>
      </c>
      <c r="V16" s="32">
        <v>-0.78555245733894097</v>
      </c>
      <c r="W16" s="30">
        <v>0.43212972667995903</v>
      </c>
      <c r="X16" s="5" t="s">
        <v>29</v>
      </c>
    </row>
    <row r="17" spans="2:24" x14ac:dyDescent="0.2">
      <c r="B17" s="5">
        <v>4</v>
      </c>
      <c r="C17" s="5" t="s">
        <v>58</v>
      </c>
      <c r="D17" s="23">
        <v>-0.247704840348905</v>
      </c>
      <c r="E17" s="32">
        <v>0.130279877309154</v>
      </c>
      <c r="F17" s="32">
        <v>-1.90132847424395</v>
      </c>
      <c r="G17" s="30">
        <v>5.72590016814973E-2</v>
      </c>
      <c r="H17" s="5" t="s">
        <v>29</v>
      </c>
      <c r="J17" s="5">
        <v>4</v>
      </c>
      <c r="K17" s="5" t="s">
        <v>69</v>
      </c>
      <c r="L17" s="23">
        <v>-0.16180789403309301</v>
      </c>
      <c r="M17" s="32">
        <v>0.13727598460652099</v>
      </c>
      <c r="N17" s="32">
        <v>-1.1787050334906499</v>
      </c>
      <c r="O17" s="30">
        <v>0.23851565063368299</v>
      </c>
      <c r="P17" s="5" t="s">
        <v>29</v>
      </c>
      <c r="R17" s="5">
        <v>4</v>
      </c>
      <c r="S17" s="5" t="s">
        <v>70</v>
      </c>
      <c r="T17" s="21">
        <v>0</v>
      </c>
      <c r="U17" s="32">
        <v>0.25541816882728102</v>
      </c>
      <c r="V17" s="32">
        <v>0</v>
      </c>
      <c r="W17" s="30">
        <v>1</v>
      </c>
      <c r="X17" s="11" t="s">
        <v>30</v>
      </c>
    </row>
    <row r="18" spans="2:24" x14ac:dyDescent="0.2">
      <c r="B18" s="5">
        <v>5</v>
      </c>
      <c r="C18" s="5" t="s">
        <v>31</v>
      </c>
      <c r="D18" s="23">
        <v>0.14848285866955199</v>
      </c>
      <c r="E18" s="32">
        <v>0.86753621165199701</v>
      </c>
      <c r="F18" s="32">
        <v>0.17115465230760199</v>
      </c>
      <c r="G18" s="30">
        <v>0.86410216348276203</v>
      </c>
      <c r="H18" s="5" t="s">
        <v>29</v>
      </c>
      <c r="J18" s="5">
        <v>5</v>
      </c>
      <c r="K18" s="5" t="s">
        <v>31</v>
      </c>
      <c r="L18" s="21">
        <v>0</v>
      </c>
      <c r="M18" s="32">
        <v>1.1409115659654001</v>
      </c>
      <c r="N18" s="32">
        <v>0</v>
      </c>
      <c r="O18" s="30">
        <v>1</v>
      </c>
      <c r="P18" s="11" t="s">
        <v>30</v>
      </c>
      <c r="R18" s="5">
        <v>5</v>
      </c>
      <c r="S18" s="5" t="s">
        <v>31</v>
      </c>
      <c r="T18" s="21">
        <v>0</v>
      </c>
      <c r="U18" s="32">
        <v>1.2645243581410199</v>
      </c>
      <c r="V18" s="32">
        <v>0</v>
      </c>
      <c r="W18" s="30">
        <v>1</v>
      </c>
      <c r="X18" s="11" t="s">
        <v>30</v>
      </c>
    </row>
    <row r="19" spans="2:24" x14ac:dyDescent="0.2">
      <c r="B19" s="5">
        <v>6</v>
      </c>
      <c r="C19" s="5" t="s">
        <v>32</v>
      </c>
      <c r="D19" s="23">
        <v>0.179150247851038</v>
      </c>
      <c r="E19" s="32">
        <v>0.83966428067449395</v>
      </c>
      <c r="F19" s="32">
        <v>0.21335937704427299</v>
      </c>
      <c r="G19" s="30">
        <v>0.83104666338486899</v>
      </c>
      <c r="H19" s="5" t="s">
        <v>29</v>
      </c>
      <c r="J19" s="5">
        <v>6</v>
      </c>
      <c r="K19" s="5" t="s">
        <v>32</v>
      </c>
      <c r="L19" s="23">
        <v>6.2564710248523498</v>
      </c>
      <c r="M19" s="32">
        <v>1.8694103322959601</v>
      </c>
      <c r="N19" s="32">
        <v>3.3467617658709998</v>
      </c>
      <c r="O19" s="30">
        <v>8.1761443986061401E-4</v>
      </c>
      <c r="P19" s="5" t="s">
        <v>29</v>
      </c>
      <c r="R19" s="5">
        <v>6</v>
      </c>
      <c r="S19" s="5" t="s">
        <v>71</v>
      </c>
      <c r="T19" s="21">
        <v>0</v>
      </c>
      <c r="U19" s="32">
        <v>0.85016391269148905</v>
      </c>
      <c r="V19" s="32">
        <v>0</v>
      </c>
      <c r="W19" s="30">
        <v>1</v>
      </c>
      <c r="X19" s="11" t="s">
        <v>30</v>
      </c>
    </row>
    <row r="20" spans="2:24" x14ac:dyDescent="0.2">
      <c r="B20" s="5">
        <v>7</v>
      </c>
      <c r="C20" s="5" t="s">
        <v>47</v>
      </c>
      <c r="D20" s="23">
        <v>5.4734238028105997</v>
      </c>
      <c r="E20" s="32">
        <v>0.83714899590106495</v>
      </c>
      <c r="F20" s="32">
        <v>6.5381716153398397</v>
      </c>
      <c r="G20" s="30">
        <v>6.2275518075693903E-11</v>
      </c>
      <c r="H20" s="5" t="s">
        <v>29</v>
      </c>
      <c r="J20" s="5">
        <v>7</v>
      </c>
      <c r="K20" s="5" t="s">
        <v>72</v>
      </c>
      <c r="L20" s="23">
        <v>-4.2016360735933302</v>
      </c>
      <c r="M20" s="32">
        <v>2.4770068958035401</v>
      </c>
      <c r="N20" s="32">
        <v>-1.6962552993742499</v>
      </c>
      <c r="O20" s="30">
        <v>8.9837541916561306E-2</v>
      </c>
      <c r="P20" s="5" t="s">
        <v>29</v>
      </c>
      <c r="R20" s="5">
        <v>7</v>
      </c>
      <c r="S20" s="5" t="s">
        <v>73</v>
      </c>
      <c r="T20" s="21">
        <v>0</v>
      </c>
      <c r="U20" s="32">
        <v>0.56198383206767699</v>
      </c>
      <c r="V20" s="32">
        <v>0</v>
      </c>
      <c r="W20" s="30">
        <v>1</v>
      </c>
      <c r="X20" s="11" t="s">
        <v>30</v>
      </c>
    </row>
    <row r="21" spans="2:24" x14ac:dyDescent="0.2">
      <c r="B21" s="5">
        <v>8</v>
      </c>
      <c r="C21" s="5" t="s">
        <v>59</v>
      </c>
      <c r="D21" s="21">
        <v>0</v>
      </c>
      <c r="E21" s="32">
        <v>0.29027617556750601</v>
      </c>
      <c r="F21" s="32">
        <v>0</v>
      </c>
      <c r="G21" s="30">
        <v>1</v>
      </c>
      <c r="H21" s="11" t="s">
        <v>30</v>
      </c>
      <c r="J21" s="5">
        <v>8</v>
      </c>
      <c r="K21" s="5" t="s">
        <v>74</v>
      </c>
      <c r="L21" s="23">
        <v>-1.9963514841625301</v>
      </c>
      <c r="M21" s="32">
        <v>1.4085718307808599</v>
      </c>
      <c r="N21" s="32">
        <v>-1.41728766722235</v>
      </c>
      <c r="O21" s="30">
        <v>0.156398839406415</v>
      </c>
      <c r="P21" s="5" t="s">
        <v>29</v>
      </c>
      <c r="R21" s="5">
        <v>8</v>
      </c>
      <c r="S21" s="5" t="s">
        <v>75</v>
      </c>
      <c r="T21" s="21">
        <v>0</v>
      </c>
      <c r="U21" s="32">
        <v>0.22974485373655201</v>
      </c>
      <c r="V21" s="32">
        <v>0</v>
      </c>
      <c r="W21" s="30">
        <v>1</v>
      </c>
      <c r="X21" s="11" t="s">
        <v>30</v>
      </c>
    </row>
    <row r="22" spans="2:24" x14ac:dyDescent="0.2">
      <c r="B22" s="5">
        <v>9</v>
      </c>
      <c r="C22" s="5" t="s">
        <v>60</v>
      </c>
      <c r="D22" s="23">
        <v>-0.34633173375634702</v>
      </c>
      <c r="E22" s="32">
        <v>0.27336417220811099</v>
      </c>
      <c r="F22" s="32">
        <v>-1.2669243776857699</v>
      </c>
      <c r="G22" s="30">
        <v>0.20518233114065099</v>
      </c>
      <c r="H22" s="5" t="s">
        <v>29</v>
      </c>
      <c r="J22" s="5">
        <v>9</v>
      </c>
      <c r="K22" s="5" t="s">
        <v>76</v>
      </c>
      <c r="L22" s="21">
        <v>0</v>
      </c>
      <c r="M22" s="32">
        <v>8.5902999345803099</v>
      </c>
      <c r="N22" s="32">
        <v>0</v>
      </c>
      <c r="O22" s="30">
        <v>1</v>
      </c>
      <c r="P22" s="11" t="s">
        <v>30</v>
      </c>
      <c r="R22" s="5">
        <v>9</v>
      </c>
      <c r="S22" s="5" t="s">
        <v>77</v>
      </c>
      <c r="T22" s="23">
        <v>-0.297667279817104</v>
      </c>
      <c r="U22" s="32">
        <v>0.19732587300221099</v>
      </c>
      <c r="V22" s="32">
        <v>-1.5085060833039801</v>
      </c>
      <c r="W22" s="30">
        <v>0.13142505091361001</v>
      </c>
      <c r="X22" s="5" t="s">
        <v>29</v>
      </c>
    </row>
    <row r="23" spans="2:24" x14ac:dyDescent="0.2">
      <c r="B23" s="5">
        <v>10</v>
      </c>
      <c r="C23" s="5" t="s">
        <v>61</v>
      </c>
      <c r="D23" s="23">
        <v>-7.2381811240032397</v>
      </c>
      <c r="E23" s="32">
        <v>3.2666745556466701</v>
      </c>
      <c r="F23" s="32">
        <v>-2.2157643807802998</v>
      </c>
      <c r="G23" s="30">
        <v>2.6707643080833E-2</v>
      </c>
      <c r="H23" s="5" t="s">
        <v>29</v>
      </c>
      <c r="J23" s="5">
        <v>10</v>
      </c>
      <c r="K23" s="5" t="s">
        <v>78</v>
      </c>
      <c r="L23" s="23">
        <v>-8.30303544091249</v>
      </c>
      <c r="M23" s="32">
        <v>4.7943110080670497</v>
      </c>
      <c r="N23" s="32">
        <v>-1.7318516522898799</v>
      </c>
      <c r="O23" s="30">
        <v>8.3299978813750203E-2</v>
      </c>
      <c r="P23" s="5" t="s">
        <v>29</v>
      </c>
      <c r="R23" s="5">
        <v>10</v>
      </c>
      <c r="S23" s="5" t="s">
        <v>32</v>
      </c>
      <c r="T23" s="23">
        <v>6.7729202526884702</v>
      </c>
      <c r="U23" s="32">
        <v>2.15552524991767</v>
      </c>
      <c r="V23" s="32">
        <v>3.1421205819542801</v>
      </c>
      <c r="W23" s="30">
        <v>1.67728943999323E-3</v>
      </c>
      <c r="X23" s="5" t="s">
        <v>29</v>
      </c>
    </row>
    <row r="24" spans="2:24" x14ac:dyDescent="0.2">
      <c r="B24" s="5">
        <v>11</v>
      </c>
      <c r="C24" s="5" t="s">
        <v>62</v>
      </c>
      <c r="D24" s="23">
        <v>-4.0365726254812397</v>
      </c>
      <c r="E24" s="32">
        <v>1.8989418144285399</v>
      </c>
      <c r="F24" s="32">
        <v>-2.1256957926833402</v>
      </c>
      <c r="G24" s="30">
        <v>3.3528597489197398E-2</v>
      </c>
      <c r="H24" s="5" t="s">
        <v>29</v>
      </c>
      <c r="J24" s="5">
        <v>11</v>
      </c>
      <c r="K24" s="5" t="s">
        <v>47</v>
      </c>
      <c r="L24" s="23">
        <v>6.1345483682841602</v>
      </c>
      <c r="M24" s="32">
        <v>1.3462845009436999</v>
      </c>
      <c r="N24" s="32">
        <v>4.5566508148790401</v>
      </c>
      <c r="O24" s="30">
        <v>5.1975723509567397E-6</v>
      </c>
      <c r="P24" s="5" t="s">
        <v>29</v>
      </c>
      <c r="R24" s="5">
        <v>11</v>
      </c>
      <c r="S24" s="5" t="s">
        <v>72</v>
      </c>
      <c r="T24" s="23">
        <v>-4.2850588692929099</v>
      </c>
      <c r="U24" s="32">
        <v>2.4704987529880098</v>
      </c>
      <c r="V24" s="32">
        <v>-1.7344914115460299</v>
      </c>
      <c r="W24" s="30">
        <v>8.2830928308014806E-2</v>
      </c>
      <c r="X24" s="5" t="s">
        <v>29</v>
      </c>
    </row>
    <row r="25" spans="2:24" x14ac:dyDescent="0.2">
      <c r="B25" s="12">
        <v>12</v>
      </c>
      <c r="C25" s="12" t="s">
        <v>33</v>
      </c>
      <c r="D25" s="33">
        <v>1.6919698192227199</v>
      </c>
      <c r="E25" s="34">
        <v>0.95304889694952499</v>
      </c>
      <c r="F25" s="34">
        <v>1.77532320181924</v>
      </c>
      <c r="G25" s="31">
        <v>7.5844536532248194E-2</v>
      </c>
      <c r="H25" s="12" t="s">
        <v>29</v>
      </c>
      <c r="J25" s="5">
        <v>12</v>
      </c>
      <c r="K25" s="5" t="s">
        <v>83</v>
      </c>
      <c r="L25" s="21">
        <v>0</v>
      </c>
      <c r="M25" s="32">
        <v>0.50369536310197405</v>
      </c>
      <c r="N25" s="32">
        <v>0</v>
      </c>
      <c r="O25" s="30">
        <v>1</v>
      </c>
      <c r="P25" s="11" t="s">
        <v>30</v>
      </c>
      <c r="R25" s="5">
        <v>12</v>
      </c>
      <c r="S25" s="5" t="s">
        <v>74</v>
      </c>
      <c r="T25" s="23">
        <v>-2.2115514627783099</v>
      </c>
      <c r="U25" s="32">
        <v>1.4541003311352501</v>
      </c>
      <c r="V25" s="32">
        <v>-1.52090706220505</v>
      </c>
      <c r="W25" s="30">
        <v>0.12828316146775701</v>
      </c>
      <c r="X25" s="5" t="s">
        <v>29</v>
      </c>
    </row>
    <row r="26" spans="2:24" x14ac:dyDescent="0.2">
      <c r="B26" s="16" t="s">
        <v>35</v>
      </c>
      <c r="C26" s="16"/>
      <c r="D26" s="16"/>
      <c r="E26" s="16"/>
      <c r="F26" s="16"/>
      <c r="G26" s="16"/>
      <c r="H26" s="16"/>
      <c r="J26" s="5">
        <v>13</v>
      </c>
      <c r="K26" s="5" t="s">
        <v>84</v>
      </c>
      <c r="L26" s="23">
        <v>-0.115186043934906</v>
      </c>
      <c r="M26" s="32">
        <v>0.39699874566496401</v>
      </c>
      <c r="N26" s="32">
        <v>-0.29014208531558899</v>
      </c>
      <c r="O26" s="30">
        <v>0.77170754043506495</v>
      </c>
      <c r="P26" s="5" t="s">
        <v>29</v>
      </c>
      <c r="R26" s="5">
        <v>13</v>
      </c>
      <c r="S26" s="5" t="s">
        <v>76</v>
      </c>
      <c r="T26" s="21">
        <v>0</v>
      </c>
      <c r="U26" s="32">
        <v>8.4120196536207104</v>
      </c>
      <c r="V26" s="32">
        <v>0</v>
      </c>
      <c r="W26" s="30">
        <v>1</v>
      </c>
      <c r="X26" s="11" t="s">
        <v>30</v>
      </c>
    </row>
    <row r="27" spans="2:24" x14ac:dyDescent="0.2">
      <c r="B27" t="s">
        <v>39</v>
      </c>
      <c r="C27">
        <v>13</v>
      </c>
      <c r="J27" s="5">
        <v>14</v>
      </c>
      <c r="K27" s="5" t="s">
        <v>85</v>
      </c>
      <c r="L27" s="23">
        <v>-11.015227084609499</v>
      </c>
      <c r="M27" s="32">
        <v>5.0367535110667196</v>
      </c>
      <c r="N27" s="32">
        <v>-2.1869696542439301</v>
      </c>
      <c r="O27" s="30">
        <v>2.8744739354024901E-2</v>
      </c>
      <c r="P27" s="5" t="s">
        <v>29</v>
      </c>
      <c r="R27" s="5">
        <v>14</v>
      </c>
      <c r="S27" s="5" t="s">
        <v>78</v>
      </c>
      <c r="T27" s="23">
        <v>-8.8817913857181807</v>
      </c>
      <c r="U27" s="32">
        <v>4.2870287813027304</v>
      </c>
      <c r="V27" s="32">
        <v>-2.0717825418982101</v>
      </c>
      <c r="W27" s="30">
        <v>3.8285725514489E-2</v>
      </c>
      <c r="X27" s="5" t="s">
        <v>29</v>
      </c>
    </row>
    <row r="28" spans="2:24" x14ac:dyDescent="0.2">
      <c r="B28" t="s">
        <v>40</v>
      </c>
      <c r="C28">
        <v>82</v>
      </c>
      <c r="J28" s="5">
        <v>15</v>
      </c>
      <c r="K28" s="5" t="s">
        <v>86</v>
      </c>
      <c r="L28" s="23">
        <v>-4.0482555076566999</v>
      </c>
      <c r="M28" s="32">
        <v>1.98778327657399</v>
      </c>
      <c r="N28" s="32">
        <v>-2.03656784689022</v>
      </c>
      <c r="O28" s="30">
        <v>4.16933676301793E-2</v>
      </c>
      <c r="P28" s="5" t="s">
        <v>29</v>
      </c>
      <c r="R28" s="5">
        <v>15</v>
      </c>
      <c r="S28" s="5" t="s">
        <v>47</v>
      </c>
      <c r="T28" s="23">
        <v>6.3487205829289</v>
      </c>
      <c r="U28" s="32">
        <v>1.48083622709388</v>
      </c>
      <c r="V28" s="32">
        <v>4.2872536927247697</v>
      </c>
      <c r="W28" s="30">
        <v>1.8089566022449999E-5</v>
      </c>
      <c r="X28" s="5" t="s">
        <v>29</v>
      </c>
    </row>
    <row r="29" spans="2:24" x14ac:dyDescent="0.2">
      <c r="B29" t="s">
        <v>41</v>
      </c>
      <c r="C29" s="27">
        <v>-342.6232</v>
      </c>
      <c r="J29" s="5">
        <v>16</v>
      </c>
      <c r="K29" s="5" t="s">
        <v>33</v>
      </c>
      <c r="L29" s="23">
        <v>4.3269466924816502</v>
      </c>
      <c r="M29" s="32">
        <v>2.3192262109230901</v>
      </c>
      <c r="N29" s="32">
        <v>1.86568549117916</v>
      </c>
      <c r="O29" s="30">
        <v>6.2085380747614001E-2</v>
      </c>
      <c r="P29" s="5" t="s">
        <v>29</v>
      </c>
      <c r="R29" s="5">
        <v>16</v>
      </c>
      <c r="S29" s="5" t="s">
        <v>83</v>
      </c>
      <c r="T29" s="21">
        <v>0</v>
      </c>
      <c r="U29" s="32">
        <v>0.479349951717087</v>
      </c>
      <c r="V29" s="32">
        <v>0</v>
      </c>
      <c r="W29" s="30">
        <v>1</v>
      </c>
      <c r="X29" s="11" t="s">
        <v>30</v>
      </c>
    </row>
    <row r="30" spans="2:24" x14ac:dyDescent="0.2">
      <c r="B30" t="s">
        <v>42</v>
      </c>
      <c r="C30" s="27">
        <v>-176.04730000000001</v>
      </c>
      <c r="J30" s="5">
        <v>17</v>
      </c>
      <c r="K30" s="5" t="s">
        <v>79</v>
      </c>
      <c r="L30" s="23">
        <v>-6.3974642597934404</v>
      </c>
      <c r="M30" s="32">
        <v>3.1574818751010798</v>
      </c>
      <c r="N30" s="32">
        <v>-2.0261285774090498</v>
      </c>
      <c r="O30" s="30">
        <v>4.2751610296932301E-2</v>
      </c>
      <c r="P30" s="5" t="s">
        <v>29</v>
      </c>
      <c r="R30" s="5">
        <v>17</v>
      </c>
      <c r="S30" s="5" t="s">
        <v>84</v>
      </c>
      <c r="T30" s="23">
        <v>-9.6231814143819303E-2</v>
      </c>
      <c r="U30" s="32">
        <v>0.40755504587138702</v>
      </c>
      <c r="V30" s="32">
        <v>-0.236119795641512</v>
      </c>
      <c r="W30" s="30">
        <v>0.81333971347273004</v>
      </c>
      <c r="X30" s="5" t="s">
        <v>29</v>
      </c>
    </row>
    <row r="31" spans="2:24" x14ac:dyDescent="0.2">
      <c r="B31" t="s">
        <v>92</v>
      </c>
      <c r="C31" s="27">
        <f>-2*(C29-C30)</f>
        <v>333.15179999999998</v>
      </c>
      <c r="J31" s="5">
        <v>18</v>
      </c>
      <c r="K31" s="5" t="s">
        <v>80</v>
      </c>
      <c r="L31" s="23">
        <v>-1.00109284212389</v>
      </c>
      <c r="M31" s="32">
        <v>0.68689132388093799</v>
      </c>
      <c r="N31" s="32">
        <v>-1.4574253703886</v>
      </c>
      <c r="O31" s="30">
        <v>0.14499899810536501</v>
      </c>
      <c r="P31" s="5" t="s">
        <v>29</v>
      </c>
      <c r="R31" s="5">
        <v>18</v>
      </c>
      <c r="S31" s="5" t="s">
        <v>85</v>
      </c>
      <c r="T31" s="23">
        <v>-11.1675005300224</v>
      </c>
      <c r="U31" s="32">
        <v>4.5194858448893998</v>
      </c>
      <c r="V31" s="32">
        <v>-2.4709670332634301</v>
      </c>
      <c r="W31" s="30">
        <v>1.34748240041659E-2</v>
      </c>
      <c r="X31" s="5" t="s">
        <v>29</v>
      </c>
    </row>
    <row r="32" spans="2:24" x14ac:dyDescent="0.2">
      <c r="B32" t="s">
        <v>43</v>
      </c>
      <c r="C32" s="27">
        <v>378.09460000000001</v>
      </c>
      <c r="J32" s="5">
        <v>19</v>
      </c>
      <c r="K32" s="5" t="s">
        <v>81</v>
      </c>
      <c r="L32" s="23">
        <v>-5.5435164649873601</v>
      </c>
      <c r="M32" s="32">
        <v>7.3470980134207604</v>
      </c>
      <c r="N32" s="32">
        <v>-0.75451783205575296</v>
      </c>
      <c r="O32" s="30">
        <v>0.45053834193925801</v>
      </c>
      <c r="P32" s="5" t="s">
        <v>29</v>
      </c>
      <c r="R32" s="5">
        <v>19</v>
      </c>
      <c r="S32" s="5" t="s">
        <v>86</v>
      </c>
      <c r="T32" s="23">
        <v>-4.1057424869375101</v>
      </c>
      <c r="U32" s="32">
        <v>2.0297375746306598</v>
      </c>
      <c r="V32" s="32">
        <v>-2.0227947387162102</v>
      </c>
      <c r="W32" s="30">
        <v>4.3094314351289603E-2</v>
      </c>
      <c r="X32" s="5" t="s">
        <v>29</v>
      </c>
    </row>
    <row r="33" spans="2:24" x14ac:dyDescent="0.2">
      <c r="B33" t="s">
        <v>44</v>
      </c>
      <c r="C33" s="27">
        <v>409.38200000000001</v>
      </c>
      <c r="J33" s="12">
        <v>20</v>
      </c>
      <c r="K33" s="12" t="s">
        <v>82</v>
      </c>
      <c r="L33" s="33">
        <v>-10.556871883572301</v>
      </c>
      <c r="M33" s="34">
        <v>3.7670390055662</v>
      </c>
      <c r="N33" s="34">
        <v>-2.8024323262842099</v>
      </c>
      <c r="O33" s="31">
        <v>5.0718856021447697E-3</v>
      </c>
      <c r="P33" s="12" t="s">
        <v>29</v>
      </c>
      <c r="R33" s="5">
        <v>20</v>
      </c>
      <c r="S33" s="5" t="s">
        <v>33</v>
      </c>
      <c r="T33" s="23">
        <v>4.4860572086944499</v>
      </c>
      <c r="U33" s="32">
        <v>2.3168364402625699</v>
      </c>
      <c r="V33" s="32">
        <v>1.9362856741782</v>
      </c>
      <c r="W33" s="30">
        <v>5.2832722382081199E-2</v>
      </c>
      <c r="X33" s="5" t="s">
        <v>29</v>
      </c>
    </row>
    <row r="34" spans="2:24" x14ac:dyDescent="0.2">
      <c r="J34" s="16" t="s">
        <v>35</v>
      </c>
      <c r="K34" s="16"/>
      <c r="L34" s="16"/>
      <c r="M34" s="16"/>
      <c r="N34" s="16"/>
      <c r="O34" s="16"/>
      <c r="P34" s="16"/>
      <c r="R34" s="5">
        <v>21</v>
      </c>
      <c r="S34" s="5" t="s">
        <v>79</v>
      </c>
      <c r="T34" s="23">
        <v>-6.5225393137934597</v>
      </c>
      <c r="U34" s="32">
        <v>3.2320988972944198</v>
      </c>
      <c r="V34" s="32">
        <v>-2.0180506602856298</v>
      </c>
      <c r="W34" s="30">
        <v>4.3585985486402003E-2</v>
      </c>
      <c r="X34" s="5" t="s">
        <v>29</v>
      </c>
    </row>
    <row r="35" spans="2:24" x14ac:dyDescent="0.2">
      <c r="B35" s="35" t="s">
        <v>95</v>
      </c>
      <c r="C35" s="35"/>
      <c r="D35" s="35"/>
      <c r="E35" s="35"/>
      <c r="F35" s="35"/>
      <c r="G35" s="35"/>
      <c r="H35" s="35"/>
      <c r="J35" t="s">
        <v>39</v>
      </c>
      <c r="K35">
        <v>21</v>
      </c>
      <c r="L35" s="7"/>
      <c r="M35" s="7"/>
      <c r="N35" s="7"/>
      <c r="O35" s="7"/>
      <c r="R35" s="5">
        <v>22</v>
      </c>
      <c r="S35" s="5" t="s">
        <v>80</v>
      </c>
      <c r="T35" s="23">
        <v>-1.0040199753724699</v>
      </c>
      <c r="U35" s="32">
        <v>0.65267334953392797</v>
      </c>
      <c r="V35" s="32">
        <v>-1.5383192466636499</v>
      </c>
      <c r="W35" s="30">
        <v>0.123970576057522</v>
      </c>
      <c r="X35" s="5" t="s">
        <v>29</v>
      </c>
    </row>
    <row r="36" spans="2:24" x14ac:dyDescent="0.2">
      <c r="B36" s="1" t="s">
        <v>93</v>
      </c>
      <c r="C36" s="1"/>
      <c r="D36" s="1"/>
      <c r="E36" s="1"/>
      <c r="F36" s="1"/>
      <c r="G36" s="1"/>
      <c r="H36" s="1"/>
      <c r="J36" t="s">
        <v>40</v>
      </c>
      <c r="K36">
        <v>82</v>
      </c>
      <c r="L36" s="7"/>
      <c r="M36" s="7"/>
      <c r="N36" s="7"/>
      <c r="O36" s="7"/>
      <c r="R36" s="5">
        <v>23</v>
      </c>
      <c r="S36" s="5" t="s">
        <v>81</v>
      </c>
      <c r="T36" s="23">
        <v>-6.1708161714793004</v>
      </c>
      <c r="U36" s="32">
        <v>8.4456334778436108</v>
      </c>
      <c r="V36" s="32">
        <v>-0.73065166605535203</v>
      </c>
      <c r="W36" s="30">
        <v>0.46499194534452798</v>
      </c>
      <c r="X36" s="5" t="s">
        <v>29</v>
      </c>
    </row>
    <row r="37" spans="2:24" x14ac:dyDescent="0.2">
      <c r="J37" t="s">
        <v>41</v>
      </c>
      <c r="K37" s="27">
        <f>C29</f>
        <v>-342.6232</v>
      </c>
      <c r="L37" s="7"/>
      <c r="M37" s="7"/>
      <c r="N37" s="7"/>
      <c r="O37" s="7"/>
      <c r="R37" s="5">
        <v>24</v>
      </c>
      <c r="S37" s="5" t="s">
        <v>82</v>
      </c>
      <c r="T37" s="23">
        <v>-10.865302391043899</v>
      </c>
      <c r="U37" s="32">
        <v>4.3162203906527701</v>
      </c>
      <c r="V37" s="32">
        <v>-2.5173187204652199</v>
      </c>
      <c r="W37" s="30">
        <v>1.1825180415940301E-2</v>
      </c>
      <c r="X37" s="5" t="s">
        <v>29</v>
      </c>
    </row>
    <row r="38" spans="2:24" x14ac:dyDescent="0.2">
      <c r="B38" t="s">
        <v>36</v>
      </c>
      <c r="C38">
        <f>K35-C27</f>
        <v>8</v>
      </c>
      <c r="J38" t="s">
        <v>42</v>
      </c>
      <c r="K38" s="27">
        <v>-144.7011</v>
      </c>
      <c r="L38" s="7"/>
      <c r="M38" s="7"/>
      <c r="N38" s="7"/>
      <c r="O38" s="7"/>
      <c r="R38" s="16" t="s">
        <v>35</v>
      </c>
      <c r="S38" s="16"/>
      <c r="T38" s="16"/>
      <c r="U38" s="16"/>
      <c r="V38" s="16"/>
      <c r="W38" s="16"/>
      <c r="X38" s="16"/>
    </row>
    <row r="39" spans="2:24" x14ac:dyDescent="0.2">
      <c r="B39" t="s">
        <v>37</v>
      </c>
      <c r="C39" s="27">
        <f>-2*(C30-K38)</f>
        <v>62.692400000000021</v>
      </c>
      <c r="J39" t="s">
        <v>92</v>
      </c>
      <c r="K39" s="27">
        <f>-2*(K37-K38)</f>
        <v>395.8442</v>
      </c>
      <c r="L39" s="7"/>
      <c r="M39" s="7"/>
      <c r="N39" s="7"/>
      <c r="O39" s="7"/>
      <c r="R39" t="s">
        <v>39</v>
      </c>
      <c r="S39">
        <v>25</v>
      </c>
    </row>
    <row r="40" spans="2:24" ht="20" x14ac:dyDescent="0.25">
      <c r="B40" t="s">
        <v>50</v>
      </c>
      <c r="C40" s="27">
        <f>_xlfn.CHISQ.INV(0.95,C38)</f>
        <v>15.507313055865449</v>
      </c>
      <c r="D40" s="10" t="s">
        <v>7</v>
      </c>
      <c r="E40" s="19" t="str">
        <f>IF(C39&lt;C40,"H0 cannot be rejected","H0 rejected")</f>
        <v>H0 rejected</v>
      </c>
      <c r="F40" s="19"/>
      <c r="G40" s="19"/>
      <c r="H40" s="19"/>
      <c r="J40" t="s">
        <v>43</v>
      </c>
      <c r="K40" s="27">
        <v>331.40219999999999</v>
      </c>
      <c r="R40" t="s">
        <v>40</v>
      </c>
      <c r="S40">
        <v>82</v>
      </c>
    </row>
    <row r="41" spans="2:24" x14ac:dyDescent="0.2">
      <c r="J41" t="s">
        <v>44</v>
      </c>
      <c r="K41" s="27">
        <v>381.94330000000002</v>
      </c>
      <c r="R41" t="s">
        <v>41</v>
      </c>
      <c r="S41" s="27">
        <f>K37</f>
        <v>-342.6232</v>
      </c>
    </row>
    <row r="42" spans="2:24" x14ac:dyDescent="0.2">
      <c r="R42" t="s">
        <v>42</v>
      </c>
      <c r="S42" s="27">
        <v>-141.49019999999999</v>
      </c>
    </row>
    <row r="43" spans="2:24" x14ac:dyDescent="0.2">
      <c r="J43" s="35" t="s">
        <v>96</v>
      </c>
      <c r="K43" s="35"/>
      <c r="L43" s="35"/>
      <c r="M43" s="35"/>
      <c r="N43" s="35"/>
      <c r="O43" s="35"/>
      <c r="P43" s="35"/>
      <c r="R43" t="s">
        <v>92</v>
      </c>
      <c r="S43" s="27">
        <f>-2*(S41-S42)</f>
        <v>402.26600000000002</v>
      </c>
    </row>
    <row r="44" spans="2:24" x14ac:dyDescent="0.2">
      <c r="J44" s="1" t="s">
        <v>94</v>
      </c>
      <c r="K44" s="1"/>
      <c r="L44" s="1"/>
      <c r="M44" s="1"/>
      <c r="N44" s="1"/>
      <c r="O44" s="1"/>
      <c r="P44" s="1"/>
      <c r="R44" t="s">
        <v>43</v>
      </c>
      <c r="S44" s="27">
        <v>332.9803</v>
      </c>
    </row>
    <row r="45" spans="2:24" x14ac:dyDescent="0.2">
      <c r="R45" t="s">
        <v>44</v>
      </c>
      <c r="S45" s="27">
        <v>393.14830000000001</v>
      </c>
    </row>
    <row r="46" spans="2:24" x14ac:dyDescent="0.2">
      <c r="J46" t="s">
        <v>36</v>
      </c>
      <c r="K46">
        <f>COUNTA(S13:S37)-COUNTA(K13:K33)</f>
        <v>4</v>
      </c>
    </row>
    <row r="47" spans="2:24" x14ac:dyDescent="0.2">
      <c r="J47" t="s">
        <v>37</v>
      </c>
      <c r="K47" s="27">
        <f>-2*(K38-S42)</f>
        <v>6.4218000000000188</v>
      </c>
    </row>
    <row r="48" spans="2:24" ht="20" x14ac:dyDescent="0.25">
      <c r="J48" t="s">
        <v>38</v>
      </c>
      <c r="K48" s="27">
        <f>_xlfn.CHISQ.INV(0.95,K46)</f>
        <v>9.4877290367811575</v>
      </c>
      <c r="L48" s="10" t="s">
        <v>7</v>
      </c>
      <c r="M48" s="19" t="str">
        <f>IF(K47&lt;K48,"H0 cannot be rejected","H0 rejected")</f>
        <v>H0 cannot be rejected</v>
      </c>
      <c r="N48" s="19"/>
      <c r="O48" s="19"/>
      <c r="P48" s="19"/>
    </row>
  </sheetData>
  <mergeCells count="10">
    <mergeCell ref="J11:P11"/>
    <mergeCell ref="R11:X11"/>
    <mergeCell ref="E40:H40"/>
    <mergeCell ref="M48:P48"/>
    <mergeCell ref="R38:X38"/>
    <mergeCell ref="B26:H26"/>
    <mergeCell ref="J34:P34"/>
    <mergeCell ref="B11:H11"/>
    <mergeCell ref="B35:H35"/>
    <mergeCell ref="J43:P43"/>
  </mergeCells>
  <conditionalFormatting sqref="E40">
    <cfRule type="cellIs" dxfId="221" priority="3" operator="equal">
      <formula>"H0 cannot be rejected"</formula>
    </cfRule>
    <cfRule type="cellIs" dxfId="220" priority="4" operator="equal">
      <formula>"H0 rejected"</formula>
    </cfRule>
  </conditionalFormatting>
  <conditionalFormatting sqref="M48">
    <cfRule type="cellIs" dxfId="219" priority="1" operator="equal">
      <formula>"H0 cannot be rejected"</formula>
    </cfRule>
    <cfRule type="cellIs" dxfId="218" priority="2" operator="equal">
      <formula>"H0 rejected"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0BEC-FCAB-8846-88BA-54E7ED3DCD7F}">
  <sheetPr>
    <tabColor rgb="FF00B0F0"/>
  </sheetPr>
  <dimension ref="B2:X45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  <col min="18" max="18" width="31.83203125" bestFit="1" customWidth="1"/>
    <col min="19" max="19" width="26" bestFit="1" customWidth="1"/>
    <col min="20" max="22" width="12.83203125" bestFit="1" customWidth="1"/>
    <col min="23" max="23" width="13.1640625" bestFit="1" customWidth="1"/>
    <col min="24" max="24" width="11.5" bestFit="1" customWidth="1"/>
    <col min="25" max="25" width="6.33203125" customWidth="1"/>
  </cols>
  <sheetData>
    <row r="2" spans="2:24" x14ac:dyDescent="0.2">
      <c r="B2" s="13" t="s">
        <v>18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2:24" x14ac:dyDescent="0.2">
      <c r="B4" s="12" t="s">
        <v>45</v>
      </c>
      <c r="C4" s="12" t="s">
        <v>46</v>
      </c>
      <c r="D4" s="2"/>
      <c r="E4" s="2"/>
      <c r="F4" s="2"/>
    </row>
    <row r="5" spans="2:24" x14ac:dyDescent="0.2">
      <c r="B5" s="5" t="s">
        <v>0</v>
      </c>
      <c r="C5" s="4" t="s">
        <v>5</v>
      </c>
      <c r="D5" s="2"/>
      <c r="E5" s="2"/>
      <c r="F5" s="2"/>
    </row>
    <row r="6" spans="2:24" x14ac:dyDescent="0.2">
      <c r="B6" s="5" t="s">
        <v>1</v>
      </c>
      <c r="C6" s="4" t="s">
        <v>5</v>
      </c>
      <c r="D6" s="2"/>
      <c r="E6" s="2"/>
      <c r="F6" s="2"/>
    </row>
    <row r="7" spans="2:24" x14ac:dyDescent="0.2">
      <c r="B7" s="5" t="s">
        <v>19</v>
      </c>
      <c r="C7" s="4" t="s">
        <v>5</v>
      </c>
      <c r="D7" s="2"/>
      <c r="E7" s="2"/>
      <c r="F7" s="2"/>
    </row>
    <row r="8" spans="2:24" x14ac:dyDescent="0.2">
      <c r="B8" s="5" t="s">
        <v>2</v>
      </c>
      <c r="C8" s="4" t="s">
        <v>5</v>
      </c>
      <c r="D8" s="2"/>
      <c r="E8" s="2"/>
      <c r="F8" s="2"/>
    </row>
    <row r="9" spans="2:24" x14ac:dyDescent="0.2">
      <c r="B9" s="5" t="s">
        <v>3</v>
      </c>
      <c r="C9" s="4" t="s">
        <v>6</v>
      </c>
      <c r="D9" s="2"/>
      <c r="E9" s="2"/>
      <c r="F9" s="2"/>
    </row>
    <row r="11" spans="2:24" x14ac:dyDescent="0.2">
      <c r="B11" s="18" t="s">
        <v>52</v>
      </c>
      <c r="C11" s="18"/>
      <c r="D11" s="18"/>
      <c r="E11" s="18"/>
      <c r="F11" s="18"/>
      <c r="G11" s="18"/>
      <c r="H11" s="18"/>
      <c r="J11" s="18" t="s">
        <v>51</v>
      </c>
      <c r="K11" s="18"/>
      <c r="L11" s="18"/>
      <c r="M11" s="18"/>
      <c r="N11" s="18"/>
      <c r="O11" s="18"/>
      <c r="P11" s="18"/>
      <c r="R11" s="18" t="s">
        <v>53</v>
      </c>
      <c r="S11" s="18"/>
      <c r="T11" s="18"/>
      <c r="U11" s="18"/>
      <c r="V11" s="18"/>
      <c r="W11" s="18"/>
      <c r="X11" s="18"/>
    </row>
    <row r="12" spans="2:24" x14ac:dyDescent="0.2">
      <c r="B12" s="6" t="s">
        <v>34</v>
      </c>
      <c r="C12" s="6" t="s">
        <v>22</v>
      </c>
      <c r="D12" s="8" t="s">
        <v>23</v>
      </c>
      <c r="E12" s="8" t="s">
        <v>24</v>
      </c>
      <c r="F12" s="8" t="s">
        <v>25</v>
      </c>
      <c r="G12" s="8" t="s">
        <v>26</v>
      </c>
      <c r="H12" s="6" t="s">
        <v>27</v>
      </c>
      <c r="J12" s="6" t="s">
        <v>34</v>
      </c>
      <c r="K12" s="6" t="s">
        <v>22</v>
      </c>
      <c r="L12" s="6" t="s">
        <v>23</v>
      </c>
      <c r="M12" s="6" t="s">
        <v>24</v>
      </c>
      <c r="N12" s="6" t="s">
        <v>25</v>
      </c>
      <c r="O12" s="6" t="s">
        <v>26</v>
      </c>
      <c r="P12" s="6" t="s">
        <v>27</v>
      </c>
      <c r="R12" s="6" t="s">
        <v>34</v>
      </c>
      <c r="S12" s="6" t="s">
        <v>22</v>
      </c>
      <c r="T12" s="6" t="s">
        <v>23</v>
      </c>
      <c r="U12" s="6" t="s">
        <v>24</v>
      </c>
      <c r="V12" s="6" t="s">
        <v>25</v>
      </c>
      <c r="W12" s="6" t="s">
        <v>26</v>
      </c>
      <c r="X12" s="6" t="s">
        <v>27</v>
      </c>
    </row>
    <row r="13" spans="2:24" x14ac:dyDescent="0.2">
      <c r="B13" s="5">
        <v>0</v>
      </c>
      <c r="C13" s="5" t="s">
        <v>28</v>
      </c>
      <c r="D13" s="23">
        <v>0.98575742380681697</v>
      </c>
      <c r="E13" s="32">
        <v>0.66029020370151004</v>
      </c>
      <c r="F13" s="32">
        <v>1.49291541549575</v>
      </c>
      <c r="G13" s="30">
        <v>0.13545932939090299</v>
      </c>
      <c r="H13" s="5" t="s">
        <v>29</v>
      </c>
      <c r="J13" s="5">
        <v>0</v>
      </c>
      <c r="K13" s="5" t="s">
        <v>28</v>
      </c>
      <c r="L13" s="23">
        <v>1.2173872708112099</v>
      </c>
      <c r="M13" s="32">
        <v>0.72151273796094995</v>
      </c>
      <c r="N13" s="32">
        <v>1.6872706561655899</v>
      </c>
      <c r="O13" s="30">
        <v>9.1551320676538595E-2</v>
      </c>
      <c r="P13" s="5" t="s">
        <v>29</v>
      </c>
      <c r="R13" s="5">
        <v>0</v>
      </c>
      <c r="S13" s="5" t="s">
        <v>28</v>
      </c>
      <c r="T13" s="23">
        <v>1.17733273525701</v>
      </c>
      <c r="U13" s="32">
        <v>1.10430524890782</v>
      </c>
      <c r="V13" s="32">
        <v>1.06612980099606</v>
      </c>
      <c r="W13" s="30">
        <v>0.28636496982849002</v>
      </c>
      <c r="X13" s="5" t="s">
        <v>29</v>
      </c>
    </row>
    <row r="14" spans="2:24" x14ac:dyDescent="0.2">
      <c r="B14" s="5">
        <v>1</v>
      </c>
      <c r="C14" s="5" t="s">
        <v>55</v>
      </c>
      <c r="D14" s="21">
        <v>0</v>
      </c>
      <c r="E14" s="32">
        <v>0.16519700350921501</v>
      </c>
      <c r="F14" s="32">
        <v>0</v>
      </c>
      <c r="G14" s="30">
        <v>1</v>
      </c>
      <c r="H14" s="11" t="s">
        <v>30</v>
      </c>
      <c r="J14" s="5">
        <v>1</v>
      </c>
      <c r="K14" s="5" t="s">
        <v>63</v>
      </c>
      <c r="L14" s="21">
        <v>0</v>
      </c>
      <c r="M14" s="32">
        <v>0.280733692371127</v>
      </c>
      <c r="N14" s="32">
        <v>0</v>
      </c>
      <c r="O14" s="30">
        <v>1</v>
      </c>
      <c r="P14" s="11" t="s">
        <v>30</v>
      </c>
      <c r="R14" s="5">
        <v>1</v>
      </c>
      <c r="S14" s="5" t="s">
        <v>64</v>
      </c>
      <c r="T14" s="21">
        <v>0</v>
      </c>
      <c r="U14" s="32">
        <v>0.58889962292871001</v>
      </c>
      <c r="V14" s="32">
        <v>0</v>
      </c>
      <c r="W14" s="30">
        <v>1</v>
      </c>
      <c r="X14" s="11" t="s">
        <v>30</v>
      </c>
    </row>
    <row r="15" spans="2:24" x14ac:dyDescent="0.2">
      <c r="B15" s="5">
        <v>2</v>
      </c>
      <c r="C15" s="5" t="s">
        <v>56</v>
      </c>
      <c r="D15" s="21">
        <v>0</v>
      </c>
      <c r="E15" s="32">
        <v>0.15592886741843301</v>
      </c>
      <c r="F15" s="32">
        <v>0</v>
      </c>
      <c r="G15" s="30">
        <v>1</v>
      </c>
      <c r="H15" s="11" t="s">
        <v>30</v>
      </c>
      <c r="J15" s="5">
        <v>2</v>
      </c>
      <c r="K15" s="5" t="s">
        <v>65</v>
      </c>
      <c r="L15" s="21">
        <v>0</v>
      </c>
      <c r="M15" s="32">
        <v>0.21346651988728599</v>
      </c>
      <c r="N15" s="32">
        <v>0</v>
      </c>
      <c r="O15" s="30">
        <v>1</v>
      </c>
      <c r="P15" s="11" t="s">
        <v>30</v>
      </c>
      <c r="R15" s="5">
        <v>2</v>
      </c>
      <c r="S15" s="5" t="s">
        <v>66</v>
      </c>
      <c r="T15" s="21">
        <v>0</v>
      </c>
      <c r="U15" s="32">
        <v>0.63728305839767596</v>
      </c>
      <c r="V15" s="32">
        <v>0</v>
      </c>
      <c r="W15" s="30">
        <v>1</v>
      </c>
      <c r="X15" s="11" t="s">
        <v>30</v>
      </c>
    </row>
    <row r="16" spans="2:24" x14ac:dyDescent="0.2">
      <c r="B16" s="5">
        <v>3</v>
      </c>
      <c r="C16" s="5" t="s">
        <v>57</v>
      </c>
      <c r="D16" s="21">
        <v>0</v>
      </c>
      <c r="E16" s="32">
        <v>0.26377228115176499</v>
      </c>
      <c r="F16" s="32">
        <v>0</v>
      </c>
      <c r="G16" s="30">
        <v>1</v>
      </c>
      <c r="H16" s="11" t="s">
        <v>30</v>
      </c>
      <c r="J16" s="5">
        <v>3</v>
      </c>
      <c r="K16" s="5" t="s">
        <v>67</v>
      </c>
      <c r="L16" s="21">
        <v>0</v>
      </c>
      <c r="M16" s="32">
        <v>0.381299742396847</v>
      </c>
      <c r="N16" s="32">
        <v>0</v>
      </c>
      <c r="O16" s="30">
        <v>1</v>
      </c>
      <c r="P16" s="11" t="s">
        <v>30</v>
      </c>
      <c r="R16" s="5">
        <v>3</v>
      </c>
      <c r="S16" s="5" t="s">
        <v>68</v>
      </c>
      <c r="T16" s="21">
        <v>0</v>
      </c>
      <c r="U16" s="32">
        <v>0.67481196979752001</v>
      </c>
      <c r="V16" s="32">
        <v>0</v>
      </c>
      <c r="W16" s="30">
        <v>1</v>
      </c>
      <c r="X16" s="11" t="s">
        <v>30</v>
      </c>
    </row>
    <row r="17" spans="2:24" x14ac:dyDescent="0.2">
      <c r="B17" s="5">
        <v>4</v>
      </c>
      <c r="C17" s="5" t="s">
        <v>58</v>
      </c>
      <c r="D17" s="23">
        <v>-0.28834715015072898</v>
      </c>
      <c r="E17" s="32">
        <v>0.12178154640026299</v>
      </c>
      <c r="F17" s="32">
        <v>-2.3677409153847502</v>
      </c>
      <c r="G17" s="30">
        <v>1.7897063800228201E-2</v>
      </c>
      <c r="H17" s="5" t="s">
        <v>29</v>
      </c>
      <c r="J17" s="5">
        <v>4</v>
      </c>
      <c r="K17" s="5" t="s">
        <v>69</v>
      </c>
      <c r="L17" s="21">
        <v>0</v>
      </c>
      <c r="M17" s="32">
        <v>9.4352928726293805E-2</v>
      </c>
      <c r="N17" s="32">
        <v>0</v>
      </c>
      <c r="O17" s="30">
        <v>1</v>
      </c>
      <c r="P17" s="11" t="s">
        <v>30</v>
      </c>
      <c r="R17" s="5">
        <v>4</v>
      </c>
      <c r="S17" s="5" t="s">
        <v>70</v>
      </c>
      <c r="T17" s="21">
        <v>0</v>
      </c>
      <c r="U17" s="32">
        <v>0.47860883963367101</v>
      </c>
      <c r="V17" s="32">
        <v>0</v>
      </c>
      <c r="W17" s="30">
        <v>1</v>
      </c>
      <c r="X17" s="11" t="s">
        <v>30</v>
      </c>
    </row>
    <row r="18" spans="2:24" x14ac:dyDescent="0.2">
      <c r="B18" s="5">
        <v>5</v>
      </c>
      <c r="C18" s="5" t="s">
        <v>31</v>
      </c>
      <c r="D18" s="23">
        <v>2.00975570464756</v>
      </c>
      <c r="E18" s="32">
        <v>0.655283636205366</v>
      </c>
      <c r="F18" s="32">
        <v>3.0670012092560501</v>
      </c>
      <c r="G18" s="30">
        <v>2.1621798247828299E-3</v>
      </c>
      <c r="H18" s="5" t="s">
        <v>29</v>
      </c>
      <c r="J18" s="5">
        <v>5</v>
      </c>
      <c r="K18" s="5" t="s">
        <v>31</v>
      </c>
      <c r="L18" s="23">
        <v>2.6665311310025799</v>
      </c>
      <c r="M18" s="32">
        <v>0.98853451674136805</v>
      </c>
      <c r="N18" s="32">
        <v>2.6974587997115198</v>
      </c>
      <c r="O18" s="30">
        <v>6.9870930273667701E-3</v>
      </c>
      <c r="P18" s="5" t="s">
        <v>29</v>
      </c>
      <c r="R18" s="5">
        <v>5</v>
      </c>
      <c r="S18" s="5" t="s">
        <v>31</v>
      </c>
      <c r="T18" s="23">
        <v>2.7383041921019098</v>
      </c>
      <c r="U18" s="32">
        <v>1.1220551909232701</v>
      </c>
      <c r="V18" s="32">
        <v>2.4404362764443901</v>
      </c>
      <c r="W18" s="30">
        <v>1.4669533783334E-2</v>
      </c>
      <c r="X18" s="5" t="s">
        <v>29</v>
      </c>
    </row>
    <row r="19" spans="2:24" x14ac:dyDescent="0.2">
      <c r="B19" s="5">
        <v>6</v>
      </c>
      <c r="C19" s="5" t="s">
        <v>49</v>
      </c>
      <c r="D19" s="23">
        <v>8.0816413991027097E-2</v>
      </c>
      <c r="E19" s="32">
        <v>0.74320408598658005</v>
      </c>
      <c r="F19" s="32">
        <v>0.108740540471794</v>
      </c>
      <c r="G19" s="30">
        <v>0.91340828584595102</v>
      </c>
      <c r="H19" s="5" t="s">
        <v>29</v>
      </c>
      <c r="J19" s="5">
        <v>6</v>
      </c>
      <c r="K19" s="5" t="s">
        <v>49</v>
      </c>
      <c r="L19" s="21">
        <v>0</v>
      </c>
      <c r="M19" s="32">
        <v>1.00093263733888</v>
      </c>
      <c r="N19" s="32">
        <v>0</v>
      </c>
      <c r="O19" s="30">
        <v>1</v>
      </c>
      <c r="P19" s="11" t="s">
        <v>30</v>
      </c>
      <c r="R19" s="5">
        <v>6</v>
      </c>
      <c r="S19" s="5" t="s">
        <v>71</v>
      </c>
      <c r="T19" s="21">
        <v>0</v>
      </c>
      <c r="U19" s="32">
        <v>0.40242556692618597</v>
      </c>
      <c r="V19" s="32">
        <v>0</v>
      </c>
      <c r="W19" s="30">
        <v>1</v>
      </c>
      <c r="X19" s="11" t="s">
        <v>30</v>
      </c>
    </row>
    <row r="20" spans="2:24" x14ac:dyDescent="0.2">
      <c r="B20" s="5">
        <v>7</v>
      </c>
      <c r="C20" s="5" t="s">
        <v>32</v>
      </c>
      <c r="D20" s="23">
        <v>4.6600578004971798</v>
      </c>
      <c r="E20" s="32">
        <v>0.78262682986987697</v>
      </c>
      <c r="F20" s="32">
        <v>5.9543803287091297</v>
      </c>
      <c r="G20" s="30">
        <v>2.6105906325568598E-9</v>
      </c>
      <c r="H20" s="5" t="s">
        <v>29</v>
      </c>
      <c r="J20" s="5">
        <v>7</v>
      </c>
      <c r="K20" s="5" t="s">
        <v>32</v>
      </c>
      <c r="L20" s="23">
        <v>6.9827530608185304</v>
      </c>
      <c r="M20" s="32">
        <v>1.5488753880061601</v>
      </c>
      <c r="N20" s="32">
        <v>4.5082729797955601</v>
      </c>
      <c r="O20" s="30">
        <v>6.5357451537462197E-6</v>
      </c>
      <c r="P20" s="5" t="s">
        <v>29</v>
      </c>
      <c r="R20" s="5">
        <v>7</v>
      </c>
      <c r="S20" s="5" t="s">
        <v>73</v>
      </c>
      <c r="T20" s="21">
        <v>0</v>
      </c>
      <c r="U20" s="32">
        <v>0.45162861030231999</v>
      </c>
      <c r="V20" s="32">
        <v>0</v>
      </c>
      <c r="W20" s="30">
        <v>1</v>
      </c>
      <c r="X20" s="11" t="s">
        <v>30</v>
      </c>
    </row>
    <row r="21" spans="2:24" x14ac:dyDescent="0.2">
      <c r="B21" s="5">
        <v>8</v>
      </c>
      <c r="C21" s="5" t="s">
        <v>33</v>
      </c>
      <c r="D21" s="23">
        <v>4.3843673591830603</v>
      </c>
      <c r="E21" s="32">
        <v>0.98924152486055295</v>
      </c>
      <c r="F21" s="32">
        <v>4.4320494530403902</v>
      </c>
      <c r="G21" s="30">
        <v>9.3341601603569302E-6</v>
      </c>
      <c r="H21" s="5" t="s">
        <v>29</v>
      </c>
      <c r="J21" s="5">
        <v>8</v>
      </c>
      <c r="K21" s="5" t="s">
        <v>72</v>
      </c>
      <c r="L21" s="21">
        <v>0</v>
      </c>
      <c r="M21" s="32">
        <v>0.30150512592235601</v>
      </c>
      <c r="N21" s="32">
        <v>0</v>
      </c>
      <c r="O21" s="30">
        <v>1</v>
      </c>
      <c r="P21" s="11" t="s">
        <v>30</v>
      </c>
      <c r="R21" s="5">
        <v>8</v>
      </c>
      <c r="S21" s="5" t="s">
        <v>75</v>
      </c>
      <c r="T21" s="21">
        <v>0</v>
      </c>
      <c r="U21" s="32">
        <v>0.73306331811763803</v>
      </c>
      <c r="V21" s="32">
        <v>0</v>
      </c>
      <c r="W21" s="30">
        <v>1</v>
      </c>
      <c r="X21" s="11" t="s">
        <v>30</v>
      </c>
    </row>
    <row r="22" spans="2:24" x14ac:dyDescent="0.2">
      <c r="B22" s="5">
        <v>9</v>
      </c>
      <c r="C22" s="5" t="s">
        <v>59</v>
      </c>
      <c r="D22" s="21">
        <v>0</v>
      </c>
      <c r="E22" s="32">
        <v>0.28748328971277298</v>
      </c>
      <c r="F22" s="32">
        <v>0</v>
      </c>
      <c r="G22" s="30">
        <v>1</v>
      </c>
      <c r="H22" s="11" t="s">
        <v>30</v>
      </c>
      <c r="J22" s="5">
        <v>9</v>
      </c>
      <c r="K22" s="5" t="s">
        <v>74</v>
      </c>
      <c r="L22" s="23">
        <v>-0.202836969834298</v>
      </c>
      <c r="M22" s="32">
        <v>0.36712709107908698</v>
      </c>
      <c r="N22" s="32">
        <v>-0.55249796259411099</v>
      </c>
      <c r="O22" s="30">
        <v>0.580607229923227</v>
      </c>
      <c r="P22" s="5" t="s">
        <v>29</v>
      </c>
      <c r="R22" s="5">
        <v>9</v>
      </c>
      <c r="S22" s="5" t="s">
        <v>77</v>
      </c>
      <c r="T22" s="23">
        <v>-0.174216662165223</v>
      </c>
      <c r="U22" s="32">
        <v>0.25609283864634702</v>
      </c>
      <c r="V22" s="32">
        <v>-0.68028712980064299</v>
      </c>
      <c r="W22" s="30">
        <v>0.49632267214023401</v>
      </c>
      <c r="X22" s="5" t="s">
        <v>29</v>
      </c>
    </row>
    <row r="23" spans="2:24" x14ac:dyDescent="0.2">
      <c r="B23" s="5">
        <v>10</v>
      </c>
      <c r="C23" s="5" t="s">
        <v>60</v>
      </c>
      <c r="D23" s="21">
        <v>0</v>
      </c>
      <c r="E23" s="32">
        <v>0.153782559500168</v>
      </c>
      <c r="F23" s="32">
        <v>0</v>
      </c>
      <c r="G23" s="30">
        <v>1</v>
      </c>
      <c r="H23" s="11" t="s">
        <v>30</v>
      </c>
      <c r="J23" s="5">
        <v>10</v>
      </c>
      <c r="K23" s="5" t="s">
        <v>76</v>
      </c>
      <c r="L23" s="21">
        <v>0</v>
      </c>
      <c r="M23" s="32">
        <v>2.50323288522234</v>
      </c>
      <c r="N23" s="32">
        <v>0</v>
      </c>
      <c r="O23" s="30">
        <v>1</v>
      </c>
      <c r="P23" s="11" t="s">
        <v>30</v>
      </c>
      <c r="R23" s="5">
        <v>10</v>
      </c>
      <c r="S23" s="5" t="s">
        <v>49</v>
      </c>
      <c r="T23" s="21">
        <v>0</v>
      </c>
      <c r="U23" s="32">
        <v>1.09055249880854</v>
      </c>
      <c r="V23" s="32">
        <v>0</v>
      </c>
      <c r="W23" s="30">
        <v>1</v>
      </c>
      <c r="X23" s="11" t="s">
        <v>30</v>
      </c>
    </row>
    <row r="24" spans="2:24" x14ac:dyDescent="0.2">
      <c r="B24" s="5">
        <v>11</v>
      </c>
      <c r="C24" s="5" t="s">
        <v>61</v>
      </c>
      <c r="D24" s="23">
        <v>-2.9903578286054801E-3</v>
      </c>
      <c r="E24" s="32">
        <v>0.51576786506661199</v>
      </c>
      <c r="F24" s="32">
        <v>-5.7978754225397004E-3</v>
      </c>
      <c r="G24" s="30">
        <v>0.99537399063240595</v>
      </c>
      <c r="H24" s="5" t="s">
        <v>29</v>
      </c>
      <c r="J24" s="5">
        <v>11</v>
      </c>
      <c r="K24" s="5" t="s">
        <v>78</v>
      </c>
      <c r="L24" s="23">
        <v>-2.8377799242295101</v>
      </c>
      <c r="M24" s="32">
        <v>0.75178295093899605</v>
      </c>
      <c r="N24" s="32">
        <v>-3.7747330139437798</v>
      </c>
      <c r="O24" s="30">
        <v>1.6017912381482901E-4</v>
      </c>
      <c r="P24" s="5" t="s">
        <v>29</v>
      </c>
      <c r="R24" s="5">
        <v>11</v>
      </c>
      <c r="S24" s="5" t="s">
        <v>87</v>
      </c>
      <c r="T24" s="21">
        <v>0</v>
      </c>
      <c r="U24" s="32">
        <v>0.38541030363995898</v>
      </c>
      <c r="V24" s="32">
        <v>0</v>
      </c>
      <c r="W24" s="30">
        <v>1</v>
      </c>
      <c r="X24" s="11" t="s">
        <v>30</v>
      </c>
    </row>
    <row r="25" spans="2:24" x14ac:dyDescent="0.2">
      <c r="B25" s="12">
        <v>12</v>
      </c>
      <c r="C25" s="12" t="s">
        <v>62</v>
      </c>
      <c r="D25" s="33">
        <v>-0.18926287971609801</v>
      </c>
      <c r="E25" s="34">
        <v>0.115926407714324</v>
      </c>
      <c r="F25" s="34">
        <v>-1.6326123050625001</v>
      </c>
      <c r="G25" s="31">
        <v>0.102550561605847</v>
      </c>
      <c r="H25" s="12" t="s">
        <v>29</v>
      </c>
      <c r="J25" s="5">
        <v>12</v>
      </c>
      <c r="K25" s="5" t="s">
        <v>33</v>
      </c>
      <c r="L25" s="23">
        <v>4.8612468395400201</v>
      </c>
      <c r="M25" s="32">
        <v>1.33837797702713</v>
      </c>
      <c r="N25" s="32">
        <v>3.6321927908123701</v>
      </c>
      <c r="O25" s="30">
        <v>2.8102303780697102E-4</v>
      </c>
      <c r="P25" s="5" t="s">
        <v>29</v>
      </c>
      <c r="R25" s="5">
        <v>12</v>
      </c>
      <c r="S25" s="5" t="s">
        <v>88</v>
      </c>
      <c r="T25" s="21">
        <v>0</v>
      </c>
      <c r="U25" s="32">
        <v>0.45772725900926398</v>
      </c>
      <c r="V25" s="32">
        <v>0</v>
      </c>
      <c r="W25" s="30">
        <v>1</v>
      </c>
      <c r="X25" s="11" t="s">
        <v>30</v>
      </c>
    </row>
    <row r="26" spans="2:24" x14ac:dyDescent="0.2">
      <c r="B26" s="16" t="s">
        <v>35</v>
      </c>
      <c r="C26" s="16"/>
      <c r="D26" s="16"/>
      <c r="E26" s="16"/>
      <c r="F26" s="16"/>
      <c r="G26" s="16"/>
      <c r="H26" s="16"/>
      <c r="J26" s="5">
        <v>13</v>
      </c>
      <c r="K26" s="5" t="s">
        <v>79</v>
      </c>
      <c r="L26" s="21">
        <v>0</v>
      </c>
      <c r="M26" s="32">
        <v>0.32542689382433199</v>
      </c>
      <c r="N26" s="32">
        <v>0</v>
      </c>
      <c r="O26" s="30">
        <v>1</v>
      </c>
      <c r="P26" s="11" t="s">
        <v>30</v>
      </c>
      <c r="R26" s="5">
        <v>13</v>
      </c>
      <c r="S26" s="5" t="s">
        <v>89</v>
      </c>
      <c r="T26" s="23">
        <v>-0.15023240158308701</v>
      </c>
      <c r="U26" s="32">
        <v>0.51007414413492902</v>
      </c>
      <c r="V26" s="32">
        <v>-0.29453051739738101</v>
      </c>
      <c r="W26" s="30">
        <v>0.76835254750385396</v>
      </c>
      <c r="X26" s="5" t="s">
        <v>29</v>
      </c>
    </row>
    <row r="27" spans="2:24" x14ac:dyDescent="0.2">
      <c r="B27" t="s">
        <v>39</v>
      </c>
      <c r="C27">
        <v>13</v>
      </c>
      <c r="J27" s="5">
        <v>14</v>
      </c>
      <c r="K27" s="5" t="s">
        <v>80</v>
      </c>
      <c r="L27" s="23">
        <v>-0.193587752954825</v>
      </c>
      <c r="M27" s="32">
        <v>0.246143148709278</v>
      </c>
      <c r="N27" s="32">
        <v>-0.786484425709014</v>
      </c>
      <c r="O27" s="30">
        <v>0.43158373976251302</v>
      </c>
      <c r="P27" s="5" t="s">
        <v>29</v>
      </c>
      <c r="R27" s="5">
        <v>14</v>
      </c>
      <c r="S27" s="5" t="s">
        <v>90</v>
      </c>
      <c r="T27" s="23">
        <v>-0.205822170440566</v>
      </c>
      <c r="U27" s="32">
        <v>0.177952672628099</v>
      </c>
      <c r="V27" s="32">
        <v>-1.15661185303303</v>
      </c>
      <c r="W27" s="30">
        <v>0.247430977384925</v>
      </c>
      <c r="X27" s="5" t="s">
        <v>29</v>
      </c>
    </row>
    <row r="28" spans="2:24" x14ac:dyDescent="0.2">
      <c r="B28" t="s">
        <v>40</v>
      </c>
      <c r="C28">
        <v>113</v>
      </c>
      <c r="J28" s="5">
        <v>15</v>
      </c>
      <c r="K28" s="5" t="s">
        <v>81</v>
      </c>
      <c r="L28" s="23">
        <v>-4.5852083800383601E-2</v>
      </c>
      <c r="M28" s="32">
        <v>0.67493756007196604</v>
      </c>
      <c r="N28" s="32">
        <v>-6.7935297296974506E-2</v>
      </c>
      <c r="O28" s="30">
        <v>0.94583714046721801</v>
      </c>
      <c r="P28" s="5" t="s">
        <v>29</v>
      </c>
      <c r="R28" s="5">
        <v>15</v>
      </c>
      <c r="S28" s="5" t="s">
        <v>32</v>
      </c>
      <c r="T28" s="23">
        <v>6.8987478362916796</v>
      </c>
      <c r="U28" s="32">
        <v>1.5010123790918399</v>
      </c>
      <c r="V28" s="32">
        <v>4.5960632519670703</v>
      </c>
      <c r="W28" s="30">
        <v>4.3054804872433201E-6</v>
      </c>
      <c r="X28" s="5" t="s">
        <v>29</v>
      </c>
    </row>
    <row r="29" spans="2:24" x14ac:dyDescent="0.2">
      <c r="B29" t="s">
        <v>41</v>
      </c>
      <c r="C29" s="27">
        <v>-416.93729999999999</v>
      </c>
      <c r="J29" s="5">
        <v>16</v>
      </c>
      <c r="K29" s="5" t="s">
        <v>82</v>
      </c>
      <c r="L29" s="23">
        <v>-0.21193883473397401</v>
      </c>
      <c r="M29" s="32">
        <v>0.134664401205801</v>
      </c>
      <c r="N29" s="32">
        <v>-1.5738297043334999</v>
      </c>
      <c r="O29" s="30">
        <v>0.115526824820988</v>
      </c>
      <c r="P29" s="5" t="s">
        <v>29</v>
      </c>
      <c r="R29" s="5">
        <v>16</v>
      </c>
      <c r="S29" s="5" t="s">
        <v>72</v>
      </c>
      <c r="T29" s="21">
        <v>0</v>
      </c>
      <c r="U29" s="32">
        <v>0.31091675711570799</v>
      </c>
      <c r="V29" s="32">
        <v>0</v>
      </c>
      <c r="W29" s="30">
        <v>1</v>
      </c>
      <c r="X29" s="11" t="s">
        <v>30</v>
      </c>
    </row>
    <row r="30" spans="2:24" x14ac:dyDescent="0.2">
      <c r="B30" t="s">
        <v>42</v>
      </c>
      <c r="C30" s="27">
        <v>-174.08879999999999</v>
      </c>
      <c r="J30" s="16" t="s">
        <v>35</v>
      </c>
      <c r="K30" s="16"/>
      <c r="L30" s="16"/>
      <c r="M30" s="16"/>
      <c r="N30" s="16"/>
      <c r="O30" s="16"/>
      <c r="P30" s="16"/>
      <c r="R30" s="5">
        <v>17</v>
      </c>
      <c r="S30" s="5" t="s">
        <v>74</v>
      </c>
      <c r="T30" s="23">
        <v>-0.208401565668482</v>
      </c>
      <c r="U30" s="32">
        <v>0.40454476883552898</v>
      </c>
      <c r="V30" s="32">
        <v>-0.51515081079495895</v>
      </c>
      <c r="W30" s="30">
        <v>0.60644763889958697</v>
      </c>
      <c r="X30" s="5" t="s">
        <v>29</v>
      </c>
    </row>
    <row r="31" spans="2:24" x14ac:dyDescent="0.2">
      <c r="B31" t="s">
        <v>92</v>
      </c>
      <c r="C31" s="27">
        <f>-2*(C29-C30)</f>
        <v>485.697</v>
      </c>
      <c r="J31" t="s">
        <v>39</v>
      </c>
      <c r="K31">
        <v>17</v>
      </c>
      <c r="L31" s="7"/>
      <c r="M31" s="7"/>
      <c r="N31" s="7"/>
      <c r="O31" s="7"/>
      <c r="R31" s="5">
        <v>18</v>
      </c>
      <c r="S31" s="5" t="s">
        <v>76</v>
      </c>
      <c r="T31" s="21">
        <v>0</v>
      </c>
      <c r="U31" s="32">
        <v>2.3144314205630501</v>
      </c>
      <c r="V31" s="32">
        <v>0</v>
      </c>
      <c r="W31" s="30">
        <v>1</v>
      </c>
      <c r="X31" s="11" t="s">
        <v>30</v>
      </c>
    </row>
    <row r="32" spans="2:24" x14ac:dyDescent="0.2">
      <c r="B32" t="s">
        <v>43</v>
      </c>
      <c r="C32" s="27">
        <v>374.17750000000001</v>
      </c>
      <c r="J32" t="s">
        <v>40</v>
      </c>
      <c r="K32">
        <v>113</v>
      </c>
      <c r="L32" s="7"/>
      <c r="M32" s="7"/>
      <c r="N32" s="7"/>
      <c r="O32" s="7"/>
      <c r="R32" s="5">
        <v>19</v>
      </c>
      <c r="S32" s="5" t="s">
        <v>78</v>
      </c>
      <c r="T32" s="23">
        <v>-2.82933269891114</v>
      </c>
      <c r="U32" s="32">
        <v>0.85818884175255306</v>
      </c>
      <c r="V32" s="32">
        <v>-3.2968649337518801</v>
      </c>
      <c r="W32" s="30">
        <v>9.77705066277367E-4</v>
      </c>
      <c r="X32" s="5" t="s">
        <v>29</v>
      </c>
    </row>
    <row r="33" spans="2:24" x14ac:dyDescent="0.2">
      <c r="B33" t="s">
        <v>44</v>
      </c>
      <c r="C33" s="27">
        <v>409.6336</v>
      </c>
      <c r="J33" t="s">
        <v>41</v>
      </c>
      <c r="K33" s="27">
        <f>C29</f>
        <v>-416.93729999999999</v>
      </c>
      <c r="L33" s="7"/>
      <c r="M33" s="7"/>
      <c r="N33" s="7"/>
      <c r="O33" s="7"/>
      <c r="R33" s="5">
        <v>20</v>
      </c>
      <c r="S33" s="5" t="s">
        <v>33</v>
      </c>
      <c r="T33" s="23">
        <v>4.6883396009256399</v>
      </c>
      <c r="U33" s="32">
        <v>1.4690301594917301</v>
      </c>
      <c r="V33" s="32">
        <v>3.1914522453015901</v>
      </c>
      <c r="W33" s="30">
        <v>1.4155951007948E-3</v>
      </c>
      <c r="X33" s="5" t="s">
        <v>29</v>
      </c>
    </row>
    <row r="34" spans="2:24" x14ac:dyDescent="0.2">
      <c r="J34" t="s">
        <v>42</v>
      </c>
      <c r="K34" s="27">
        <v>-122.3244</v>
      </c>
      <c r="L34" s="7"/>
      <c r="M34" s="7"/>
      <c r="N34" s="7"/>
      <c r="O34" s="7"/>
      <c r="R34" s="5">
        <v>21</v>
      </c>
      <c r="S34" s="5" t="s">
        <v>79</v>
      </c>
      <c r="T34" s="21">
        <v>0</v>
      </c>
      <c r="U34" s="32">
        <v>0.44761228619257998</v>
      </c>
      <c r="V34" s="32">
        <v>0</v>
      </c>
      <c r="W34" s="30">
        <v>1</v>
      </c>
      <c r="X34" s="11" t="s">
        <v>30</v>
      </c>
    </row>
    <row r="35" spans="2:24" x14ac:dyDescent="0.2">
      <c r="B35" s="35" t="s">
        <v>95</v>
      </c>
      <c r="C35" s="35"/>
      <c r="D35" s="35"/>
      <c r="E35" s="35"/>
      <c r="F35" s="35"/>
      <c r="G35" s="35"/>
      <c r="H35" s="35"/>
      <c r="J35" t="s">
        <v>92</v>
      </c>
      <c r="K35" s="27">
        <f>-2*(K33-K34)</f>
        <v>589.22579999999994</v>
      </c>
      <c r="L35" s="7"/>
      <c r="M35" s="7"/>
      <c r="N35" s="7"/>
      <c r="O35" s="7"/>
      <c r="R35" s="5">
        <v>22</v>
      </c>
      <c r="S35" s="5" t="s">
        <v>80</v>
      </c>
      <c r="T35" s="23">
        <v>-9.1037719755618196E-2</v>
      </c>
      <c r="U35" s="32">
        <v>0.27999293403635001</v>
      </c>
      <c r="V35" s="32">
        <v>-0.325142918584507</v>
      </c>
      <c r="W35" s="30">
        <v>0.74507290775238899</v>
      </c>
      <c r="X35" s="5" t="s">
        <v>29</v>
      </c>
    </row>
    <row r="36" spans="2:24" x14ac:dyDescent="0.2">
      <c r="B36" s="1" t="s">
        <v>93</v>
      </c>
      <c r="C36" s="1"/>
      <c r="D36" s="1"/>
      <c r="E36" s="1"/>
      <c r="F36" s="1"/>
      <c r="G36" s="1"/>
      <c r="H36" s="1"/>
      <c r="J36" t="s">
        <v>43</v>
      </c>
      <c r="K36" s="27">
        <v>278.64890000000003</v>
      </c>
      <c r="R36" s="5">
        <v>23</v>
      </c>
      <c r="S36" s="5" t="s">
        <v>81</v>
      </c>
      <c r="T36" s="23">
        <v>-0.118231882513638</v>
      </c>
      <c r="U36" s="32">
        <v>0.66976996691342106</v>
      </c>
      <c r="V36" s="32">
        <v>-0.17652610351954101</v>
      </c>
      <c r="W36" s="30">
        <v>0.85988064303293998</v>
      </c>
      <c r="X36" s="5" t="s">
        <v>29</v>
      </c>
    </row>
    <row r="37" spans="2:24" x14ac:dyDescent="0.2">
      <c r="J37" t="s">
        <v>44</v>
      </c>
      <c r="K37" s="27">
        <v>325.0145</v>
      </c>
      <c r="R37" s="5">
        <v>24</v>
      </c>
      <c r="S37" s="5" t="s">
        <v>82</v>
      </c>
      <c r="T37" s="23">
        <v>-0.215216539263062</v>
      </c>
      <c r="U37" s="32">
        <v>0.133715659432284</v>
      </c>
      <c r="V37" s="32">
        <v>-1.6095088651307099</v>
      </c>
      <c r="W37" s="30">
        <v>0.10750511811711499</v>
      </c>
      <c r="X37" s="5" t="s">
        <v>29</v>
      </c>
    </row>
    <row r="38" spans="2:24" x14ac:dyDescent="0.2">
      <c r="B38" t="s">
        <v>36</v>
      </c>
      <c r="C38">
        <f>K31-C27</f>
        <v>4</v>
      </c>
      <c r="R38" s="16" t="s">
        <v>35</v>
      </c>
      <c r="S38" s="16"/>
      <c r="T38" s="16"/>
      <c r="U38" s="16"/>
      <c r="V38" s="16"/>
      <c r="W38" s="16"/>
      <c r="X38" s="16"/>
    </row>
    <row r="39" spans="2:24" x14ac:dyDescent="0.2">
      <c r="B39" t="s">
        <v>37</v>
      </c>
      <c r="C39" s="27">
        <f>-2*(C30-K34)</f>
        <v>103.52879999999999</v>
      </c>
      <c r="J39" s="35" t="s">
        <v>96</v>
      </c>
      <c r="K39" s="35"/>
      <c r="L39" s="35"/>
      <c r="M39" s="35"/>
      <c r="N39" s="35"/>
      <c r="O39" s="35"/>
      <c r="P39" s="35"/>
      <c r="R39" t="s">
        <v>39</v>
      </c>
      <c r="S39">
        <v>25</v>
      </c>
    </row>
    <row r="40" spans="2:24" ht="20" x14ac:dyDescent="0.25">
      <c r="B40" t="s">
        <v>38</v>
      </c>
      <c r="C40" s="27">
        <f>_xlfn.CHISQ.INV(0.95,C38)</f>
        <v>9.4877290367811575</v>
      </c>
      <c r="D40" s="10" t="s">
        <v>7</v>
      </c>
      <c r="E40" s="19" t="str">
        <f>IF(C39&lt;C40,"H0 cannot be rejected","H0 rejected")</f>
        <v>H0 rejected</v>
      </c>
      <c r="F40" s="19"/>
      <c r="G40" s="19"/>
      <c r="H40" s="19"/>
      <c r="J40" s="1" t="s">
        <v>94</v>
      </c>
      <c r="K40" s="1"/>
      <c r="L40" s="1"/>
      <c r="M40" s="1"/>
      <c r="N40" s="1"/>
      <c r="O40" s="1"/>
      <c r="P40" s="1"/>
      <c r="R40" t="s">
        <v>40</v>
      </c>
      <c r="S40">
        <v>113</v>
      </c>
    </row>
    <row r="41" spans="2:24" x14ac:dyDescent="0.2">
      <c r="R41" t="s">
        <v>41</v>
      </c>
      <c r="S41" s="27">
        <f>K33</f>
        <v>-416.93729999999999</v>
      </c>
    </row>
    <row r="42" spans="2:24" x14ac:dyDescent="0.2">
      <c r="J42" t="s">
        <v>36</v>
      </c>
      <c r="K42">
        <f>COUNTA(S13:S37)-COUNTA(K13:K29)</f>
        <v>8</v>
      </c>
      <c r="R42" t="s">
        <v>42</v>
      </c>
      <c r="S42" s="27">
        <v>-118.97620000000001</v>
      </c>
    </row>
    <row r="43" spans="2:24" x14ac:dyDescent="0.2">
      <c r="J43" t="s">
        <v>37</v>
      </c>
      <c r="K43" s="27">
        <f>-2*(K34-S42)</f>
        <v>6.6963999999999828</v>
      </c>
      <c r="R43" t="s">
        <v>92</v>
      </c>
      <c r="S43" s="27">
        <f>-2*(S41-S42)</f>
        <v>595.92219999999998</v>
      </c>
    </row>
    <row r="44" spans="2:24" ht="20" x14ac:dyDescent="0.25">
      <c r="J44" t="s">
        <v>50</v>
      </c>
      <c r="K44" s="27">
        <f>_xlfn.CHISQ.INV(0.95,K42)</f>
        <v>15.507313055865449</v>
      </c>
      <c r="L44" s="10" t="s">
        <v>7</v>
      </c>
      <c r="M44" s="19" t="str">
        <f>IF(K43&lt;K44,"H0 cannot be rejected","H0 rejected")</f>
        <v>H0 cannot be rejected</v>
      </c>
      <c r="N44" s="19"/>
      <c r="O44" s="19"/>
      <c r="P44" s="19"/>
      <c r="R44" t="s">
        <v>43</v>
      </c>
      <c r="S44" s="27">
        <v>287.95249999999999</v>
      </c>
    </row>
    <row r="45" spans="2:24" x14ac:dyDescent="0.2">
      <c r="R45" t="s">
        <v>44</v>
      </c>
      <c r="S45" s="27">
        <v>356.13720000000001</v>
      </c>
    </row>
  </sheetData>
  <mergeCells count="10">
    <mergeCell ref="R38:X38"/>
    <mergeCell ref="E40:H40"/>
    <mergeCell ref="M44:P44"/>
    <mergeCell ref="B35:H35"/>
    <mergeCell ref="J39:P39"/>
    <mergeCell ref="J11:P11"/>
    <mergeCell ref="R11:X11"/>
    <mergeCell ref="J30:P30"/>
    <mergeCell ref="B11:H11"/>
    <mergeCell ref="B26:H26"/>
  </mergeCells>
  <conditionalFormatting sqref="E40">
    <cfRule type="cellIs" dxfId="217" priority="3" operator="equal">
      <formula>"H0 cannot be rejected"</formula>
    </cfRule>
    <cfRule type="cellIs" dxfId="216" priority="4" operator="equal">
      <formula>"H0 rejected"</formula>
    </cfRule>
  </conditionalFormatting>
  <conditionalFormatting sqref="M44">
    <cfRule type="cellIs" dxfId="215" priority="1" operator="equal">
      <formula>"H0 cannot be rejected"</formula>
    </cfRule>
    <cfRule type="cellIs" dxfId="214" priority="2" operator="equal">
      <formula>"H0 rejected"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E40A-665F-B04D-9859-142D9765DFCD}">
  <sheetPr>
    <tabColor rgb="FFFFFF00"/>
  </sheetPr>
  <dimension ref="B2:P39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</cols>
  <sheetData>
    <row r="2" spans="2:16" x14ac:dyDescent="0.2">
      <c r="B2" s="13" t="s">
        <v>20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2:16" x14ac:dyDescent="0.2">
      <c r="B4" s="12" t="s">
        <v>45</v>
      </c>
      <c r="C4" s="12" t="s">
        <v>46</v>
      </c>
      <c r="D4" s="2"/>
      <c r="E4" s="2"/>
      <c r="F4" s="2"/>
    </row>
    <row r="5" spans="2:16" x14ac:dyDescent="0.2">
      <c r="B5" s="5" t="s">
        <v>0</v>
      </c>
      <c r="C5" s="4" t="s">
        <v>5</v>
      </c>
      <c r="D5" s="2"/>
      <c r="E5" s="2"/>
      <c r="F5" s="2"/>
    </row>
    <row r="6" spans="2:16" x14ac:dyDescent="0.2">
      <c r="B6" s="5" t="s">
        <v>2</v>
      </c>
      <c r="C6" s="4" t="s">
        <v>5</v>
      </c>
      <c r="D6" s="2"/>
      <c r="E6" s="2"/>
      <c r="F6" s="2"/>
    </row>
    <row r="7" spans="2:16" x14ac:dyDescent="0.2">
      <c r="B7" s="5" t="s">
        <v>11</v>
      </c>
      <c r="C7" s="4" t="s">
        <v>6</v>
      </c>
      <c r="D7" s="2"/>
      <c r="E7" s="2"/>
      <c r="F7" s="2"/>
    </row>
    <row r="8" spans="2:16" x14ac:dyDescent="0.2">
      <c r="B8" s="5" t="s">
        <v>3</v>
      </c>
      <c r="C8" s="4" t="s">
        <v>6</v>
      </c>
      <c r="D8" s="2"/>
      <c r="E8" s="2"/>
      <c r="F8" s="2"/>
    </row>
    <row r="10" spans="2:16" x14ac:dyDescent="0.2">
      <c r="B10" s="18" t="s">
        <v>52</v>
      </c>
      <c r="C10" s="18"/>
      <c r="D10" s="18"/>
      <c r="E10" s="18"/>
      <c r="F10" s="18"/>
      <c r="G10" s="18"/>
      <c r="H10" s="18"/>
      <c r="J10" s="18" t="s">
        <v>53</v>
      </c>
      <c r="K10" s="18"/>
      <c r="L10" s="18"/>
      <c r="M10" s="18"/>
      <c r="N10" s="18"/>
      <c r="O10" s="18"/>
      <c r="P10" s="18"/>
    </row>
    <row r="11" spans="2:16" x14ac:dyDescent="0.2">
      <c r="B11" s="6" t="s">
        <v>34</v>
      </c>
      <c r="C11" s="6" t="s">
        <v>22</v>
      </c>
      <c r="D11" s="8" t="s">
        <v>23</v>
      </c>
      <c r="E11" s="8" t="s">
        <v>24</v>
      </c>
      <c r="F11" s="8" t="s">
        <v>25</v>
      </c>
      <c r="G11" s="8" t="s">
        <v>26</v>
      </c>
      <c r="H11" s="6" t="s">
        <v>27</v>
      </c>
      <c r="J11" s="6" t="s">
        <v>34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27</v>
      </c>
    </row>
    <row r="12" spans="2:16" x14ac:dyDescent="0.2">
      <c r="B12" s="5">
        <v>0</v>
      </c>
      <c r="C12" s="5" t="s">
        <v>28</v>
      </c>
      <c r="D12" s="21">
        <v>0</v>
      </c>
      <c r="E12" s="32">
        <v>1.4166682449239401</v>
      </c>
      <c r="F12" s="32">
        <v>0</v>
      </c>
      <c r="G12" s="30">
        <v>1</v>
      </c>
      <c r="H12" s="11" t="s">
        <v>30</v>
      </c>
      <c r="J12" s="5">
        <v>0</v>
      </c>
      <c r="K12" s="5" t="s">
        <v>28</v>
      </c>
      <c r="L12" s="21">
        <v>0</v>
      </c>
      <c r="M12" s="32">
        <v>1.5578961171425501</v>
      </c>
      <c r="N12" s="32">
        <v>0</v>
      </c>
      <c r="O12" s="30">
        <v>1</v>
      </c>
      <c r="P12" s="11" t="s">
        <v>30</v>
      </c>
    </row>
    <row r="13" spans="2:16" x14ac:dyDescent="0.2">
      <c r="B13" s="5">
        <v>1</v>
      </c>
      <c r="C13" s="5" t="s">
        <v>55</v>
      </c>
      <c r="D13" s="23">
        <v>-0.98683684367268198</v>
      </c>
      <c r="E13" s="32">
        <v>0.48473800042439302</v>
      </c>
      <c r="F13" s="32">
        <v>-2.0358148996131802</v>
      </c>
      <c r="G13" s="30">
        <v>4.1768945708781903E-2</v>
      </c>
      <c r="H13" s="5" t="s">
        <v>29</v>
      </c>
      <c r="J13" s="5">
        <v>1</v>
      </c>
      <c r="K13" s="5" t="s">
        <v>64</v>
      </c>
      <c r="L13" s="23">
        <v>-0.77299743785977404</v>
      </c>
      <c r="M13" s="32">
        <v>0.39333882443317097</v>
      </c>
      <c r="N13" s="32">
        <v>-1.9652202880651699</v>
      </c>
      <c r="O13" s="30">
        <v>4.9388746791189299E-2</v>
      </c>
      <c r="P13" s="5" t="s">
        <v>29</v>
      </c>
    </row>
    <row r="14" spans="2:16" x14ac:dyDescent="0.2">
      <c r="B14" s="5">
        <v>2</v>
      </c>
      <c r="C14" s="5" t="s">
        <v>56</v>
      </c>
      <c r="D14" s="23">
        <v>-0.25798195892076797</v>
      </c>
      <c r="E14" s="32">
        <v>0.48050521618143999</v>
      </c>
      <c r="F14" s="32">
        <v>-0.53689731189796897</v>
      </c>
      <c r="G14" s="30">
        <v>0.59133854791954099</v>
      </c>
      <c r="H14" s="5" t="s">
        <v>29</v>
      </c>
      <c r="J14" s="5">
        <v>2</v>
      </c>
      <c r="K14" s="5" t="s">
        <v>66</v>
      </c>
      <c r="L14" s="21">
        <v>0</v>
      </c>
      <c r="M14" s="32">
        <v>0.99735779562461402</v>
      </c>
      <c r="N14" s="32">
        <v>0</v>
      </c>
      <c r="O14" s="30">
        <v>1</v>
      </c>
      <c r="P14" s="11" t="s">
        <v>30</v>
      </c>
    </row>
    <row r="15" spans="2:16" x14ac:dyDescent="0.2">
      <c r="B15" s="5">
        <v>3</v>
      </c>
      <c r="C15" s="5" t="s">
        <v>57</v>
      </c>
      <c r="D15" s="23">
        <v>-0.74023973040106394</v>
      </c>
      <c r="E15" s="32">
        <v>0.796966124131259</v>
      </c>
      <c r="F15" s="32">
        <v>-0.92882207660704397</v>
      </c>
      <c r="G15" s="30">
        <v>0.35298130142916401</v>
      </c>
      <c r="H15" s="5" t="s">
        <v>29</v>
      </c>
      <c r="J15" s="5">
        <v>3</v>
      </c>
      <c r="K15" s="5" t="s">
        <v>68</v>
      </c>
      <c r="L15" s="23">
        <v>-0.99226643522633895</v>
      </c>
      <c r="M15" s="32">
        <v>0.74662891950899501</v>
      </c>
      <c r="N15" s="32">
        <v>-1.32899544780408</v>
      </c>
      <c r="O15" s="30">
        <v>0.183849471732174</v>
      </c>
      <c r="P15" s="5" t="s">
        <v>29</v>
      </c>
    </row>
    <row r="16" spans="2:16" x14ac:dyDescent="0.2">
      <c r="B16" s="5">
        <v>4</v>
      </c>
      <c r="C16" s="5" t="s">
        <v>58</v>
      </c>
      <c r="D16" s="23">
        <v>-1.87100252231524</v>
      </c>
      <c r="E16" s="32">
        <v>0.66962738876746197</v>
      </c>
      <c r="F16" s="32">
        <v>-2.7940949753549802</v>
      </c>
      <c r="G16" s="30">
        <v>5.2045190789613499E-3</v>
      </c>
      <c r="H16" s="5" t="s">
        <v>29</v>
      </c>
      <c r="J16" s="5">
        <v>4</v>
      </c>
      <c r="K16" s="5" t="s">
        <v>70</v>
      </c>
      <c r="L16" s="23">
        <v>-1.81359573705801</v>
      </c>
      <c r="M16" s="32">
        <v>0.569987495789956</v>
      </c>
      <c r="N16" s="32">
        <v>-3.1818167073025299</v>
      </c>
      <c r="O16" s="30">
        <v>1.46354409551774E-3</v>
      </c>
      <c r="P16" s="5" t="s">
        <v>29</v>
      </c>
    </row>
    <row r="17" spans="2:16" x14ac:dyDescent="0.2">
      <c r="B17" s="5">
        <v>5</v>
      </c>
      <c r="C17" s="5" t="s">
        <v>32</v>
      </c>
      <c r="D17" s="21">
        <v>0</v>
      </c>
      <c r="E17" s="32">
        <v>1.15164571251957</v>
      </c>
      <c r="F17" s="32">
        <v>0</v>
      </c>
      <c r="G17" s="30">
        <v>1</v>
      </c>
      <c r="H17" s="11" t="s">
        <v>30</v>
      </c>
      <c r="J17" s="5">
        <v>5</v>
      </c>
      <c r="K17" s="5" t="s">
        <v>32</v>
      </c>
      <c r="L17" s="21">
        <v>0</v>
      </c>
      <c r="M17" s="32">
        <v>2.0670301171849199</v>
      </c>
      <c r="N17" s="32">
        <v>0</v>
      </c>
      <c r="O17" s="30">
        <v>1</v>
      </c>
      <c r="P17" s="11" t="s">
        <v>30</v>
      </c>
    </row>
    <row r="18" spans="2:16" x14ac:dyDescent="0.2">
      <c r="B18" s="5">
        <v>6</v>
      </c>
      <c r="C18" s="5" t="s">
        <v>47</v>
      </c>
      <c r="D18" s="23">
        <v>2.7902682505484302</v>
      </c>
      <c r="E18" s="32">
        <v>1.13834386616528</v>
      </c>
      <c r="F18" s="32">
        <v>2.4511646554989999</v>
      </c>
      <c r="G18" s="30">
        <v>1.4239479974742E-2</v>
      </c>
      <c r="H18" s="5" t="s">
        <v>29</v>
      </c>
      <c r="J18" s="5">
        <v>6</v>
      </c>
      <c r="K18" s="5" t="s">
        <v>72</v>
      </c>
      <c r="L18" s="23">
        <v>-0.79747185656655395</v>
      </c>
      <c r="M18" s="32">
        <v>0.92711873243627096</v>
      </c>
      <c r="N18" s="32">
        <v>-0.86016151833214205</v>
      </c>
      <c r="O18" s="30">
        <v>0.38970001388826397</v>
      </c>
      <c r="P18" s="5" t="s">
        <v>29</v>
      </c>
    </row>
    <row r="19" spans="2:16" x14ac:dyDescent="0.2">
      <c r="B19" s="5">
        <v>7</v>
      </c>
      <c r="C19" s="5" t="s">
        <v>59</v>
      </c>
      <c r="D19" s="23">
        <v>-0.85505137461181502</v>
      </c>
      <c r="E19" s="32">
        <v>0.87645158482493402</v>
      </c>
      <c r="F19" s="32">
        <v>-0.97558312337652497</v>
      </c>
      <c r="G19" s="30">
        <v>0.329271091155308</v>
      </c>
      <c r="H19" s="5" t="s">
        <v>29</v>
      </c>
      <c r="J19" s="5">
        <v>7</v>
      </c>
      <c r="K19" s="5" t="s">
        <v>74</v>
      </c>
      <c r="L19" s="23">
        <v>-0.219562989786414</v>
      </c>
      <c r="M19" s="32">
        <v>1.88086244814804</v>
      </c>
      <c r="N19" s="32">
        <v>-0.116735272163364</v>
      </c>
      <c r="O19" s="30">
        <v>0.90706983820752596</v>
      </c>
      <c r="P19" s="5" t="s">
        <v>29</v>
      </c>
    </row>
    <row r="20" spans="2:16" x14ac:dyDescent="0.2">
      <c r="B20" s="5">
        <v>8</v>
      </c>
      <c r="C20" s="5" t="s">
        <v>60</v>
      </c>
      <c r="D20" s="21">
        <v>0</v>
      </c>
      <c r="E20" s="32">
        <v>0.41470879643344799</v>
      </c>
      <c r="F20" s="32">
        <v>0</v>
      </c>
      <c r="G20" s="30">
        <v>1</v>
      </c>
      <c r="H20" s="11" t="s">
        <v>30</v>
      </c>
      <c r="J20" s="5">
        <v>8</v>
      </c>
      <c r="K20" s="5" t="s">
        <v>76</v>
      </c>
      <c r="L20" s="23">
        <v>-6.3232502767830301</v>
      </c>
      <c r="M20" s="32">
        <v>8.7724967482868905</v>
      </c>
      <c r="N20" s="32">
        <v>-0.72080394649537405</v>
      </c>
      <c r="O20" s="30">
        <v>0.47103014696117601</v>
      </c>
      <c r="P20" s="5" t="s">
        <v>29</v>
      </c>
    </row>
    <row r="21" spans="2:16" x14ac:dyDescent="0.2">
      <c r="B21" s="5">
        <v>9</v>
      </c>
      <c r="C21" s="5" t="s">
        <v>61</v>
      </c>
      <c r="D21" s="21">
        <v>0</v>
      </c>
      <c r="E21" s="32">
        <v>1.8015399994137999</v>
      </c>
      <c r="F21" s="32">
        <v>0</v>
      </c>
      <c r="G21" s="30">
        <v>1</v>
      </c>
      <c r="H21" s="11" t="s">
        <v>30</v>
      </c>
      <c r="J21" s="5">
        <v>9</v>
      </c>
      <c r="K21" s="5" t="s">
        <v>78</v>
      </c>
      <c r="L21" s="23">
        <v>-3.8003091358578001</v>
      </c>
      <c r="M21" s="32">
        <v>2.1218958885774102</v>
      </c>
      <c r="N21" s="32">
        <v>-1.7909969835540001</v>
      </c>
      <c r="O21" s="30">
        <v>7.3293779059025094E-2</v>
      </c>
      <c r="P21" s="5" t="s">
        <v>29</v>
      </c>
    </row>
    <row r="22" spans="2:16" x14ac:dyDescent="0.2">
      <c r="B22" s="5">
        <v>10</v>
      </c>
      <c r="C22" s="5" t="s">
        <v>62</v>
      </c>
      <c r="D22" s="23">
        <v>-3.9289585589915199</v>
      </c>
      <c r="E22" s="32">
        <v>1.0167610132198699</v>
      </c>
      <c r="F22" s="32">
        <v>-3.86419080581119</v>
      </c>
      <c r="G22" s="30">
        <v>1.11458073373205E-4</v>
      </c>
      <c r="H22" s="5" t="s">
        <v>29</v>
      </c>
      <c r="J22" s="5">
        <v>10</v>
      </c>
      <c r="K22" s="5" t="s">
        <v>47</v>
      </c>
      <c r="L22" s="23">
        <v>2.8609341043248202</v>
      </c>
      <c r="M22" s="32">
        <v>1.49881505666732</v>
      </c>
      <c r="N22" s="32">
        <v>1.9087972806239499</v>
      </c>
      <c r="O22" s="30">
        <v>5.6288247814716197E-2</v>
      </c>
      <c r="P22" s="5" t="s">
        <v>29</v>
      </c>
    </row>
    <row r="23" spans="2:16" x14ac:dyDescent="0.2">
      <c r="B23" s="12">
        <v>11</v>
      </c>
      <c r="C23" s="12" t="s">
        <v>33</v>
      </c>
      <c r="D23" s="33">
        <v>0.64194696713594801</v>
      </c>
      <c r="E23" s="34">
        <v>1.03007161856256</v>
      </c>
      <c r="F23" s="34">
        <v>0.62320614952168796</v>
      </c>
      <c r="G23" s="31">
        <v>0.53314906112610005</v>
      </c>
      <c r="H23" s="12" t="s">
        <v>29</v>
      </c>
      <c r="J23" s="5">
        <v>11</v>
      </c>
      <c r="K23" s="5" t="s">
        <v>83</v>
      </c>
      <c r="L23" s="23">
        <v>-0.54429434789228104</v>
      </c>
      <c r="M23" s="32">
        <v>0.96913856555793498</v>
      </c>
      <c r="N23" s="32">
        <v>-0.56162696154695801</v>
      </c>
      <c r="O23" s="30">
        <v>0.57437020680582795</v>
      </c>
      <c r="P23" s="5" t="s">
        <v>29</v>
      </c>
    </row>
    <row r="24" spans="2:16" x14ac:dyDescent="0.2">
      <c r="B24" s="16" t="s">
        <v>35</v>
      </c>
      <c r="C24" s="16"/>
      <c r="D24" s="16"/>
      <c r="E24" s="16"/>
      <c r="F24" s="16"/>
      <c r="G24" s="16"/>
      <c r="H24" s="16"/>
      <c r="J24" s="5">
        <v>12</v>
      </c>
      <c r="K24" s="5" t="s">
        <v>84</v>
      </c>
      <c r="L24" s="23">
        <v>-5.6111872328344303E-2</v>
      </c>
      <c r="M24" s="32">
        <v>0.71952215293972799</v>
      </c>
      <c r="N24" s="32">
        <v>-7.7984912763408104E-2</v>
      </c>
      <c r="O24" s="30">
        <v>0.93784005431058404</v>
      </c>
      <c r="P24" s="5" t="s">
        <v>29</v>
      </c>
    </row>
    <row r="25" spans="2:16" x14ac:dyDescent="0.2">
      <c r="B25" t="s">
        <v>39</v>
      </c>
      <c r="C25">
        <v>12</v>
      </c>
      <c r="J25" s="5">
        <v>13</v>
      </c>
      <c r="K25" s="5" t="s">
        <v>85</v>
      </c>
      <c r="L25" s="21">
        <v>0</v>
      </c>
      <c r="M25" s="32">
        <v>2.3794454599527901</v>
      </c>
      <c r="N25" s="32">
        <v>0</v>
      </c>
      <c r="O25" s="30">
        <v>1</v>
      </c>
      <c r="P25" s="11" t="s">
        <v>30</v>
      </c>
    </row>
    <row r="26" spans="2:16" x14ac:dyDescent="0.2">
      <c r="B26" t="s">
        <v>40</v>
      </c>
      <c r="C26">
        <v>55</v>
      </c>
      <c r="J26" s="5">
        <v>14</v>
      </c>
      <c r="K26" s="5" t="s">
        <v>86</v>
      </c>
      <c r="L26" s="23">
        <v>-4.9601075768737397</v>
      </c>
      <c r="M26" s="32">
        <v>1.52110574736926</v>
      </c>
      <c r="N26" s="32">
        <v>-3.2608565087944701</v>
      </c>
      <c r="O26" s="30">
        <v>1.11076235189844E-3</v>
      </c>
      <c r="P26" s="5" t="s">
        <v>29</v>
      </c>
    </row>
    <row r="27" spans="2:16" x14ac:dyDescent="0.2">
      <c r="B27" t="s">
        <v>41</v>
      </c>
      <c r="C27" s="27">
        <v>-213.39019999999999</v>
      </c>
      <c r="J27" s="5">
        <v>15</v>
      </c>
      <c r="K27" s="5" t="s">
        <v>33</v>
      </c>
      <c r="L27" s="23">
        <v>0.61426008656226805</v>
      </c>
      <c r="M27" s="32">
        <v>1.33196019491137</v>
      </c>
      <c r="N27" s="32">
        <v>0.46117000260892699</v>
      </c>
      <c r="O27" s="30">
        <v>0.64467664149009696</v>
      </c>
      <c r="P27" s="5" t="s">
        <v>29</v>
      </c>
    </row>
    <row r="28" spans="2:16" x14ac:dyDescent="0.2">
      <c r="B28" t="s">
        <v>42</v>
      </c>
      <c r="C28" s="27">
        <v>-105.89530000000001</v>
      </c>
      <c r="J28" s="5">
        <v>16</v>
      </c>
      <c r="K28" s="5" t="s">
        <v>79</v>
      </c>
      <c r="L28" s="23">
        <v>-1.2556695623377701</v>
      </c>
      <c r="M28" s="32">
        <v>0.88047116605889797</v>
      </c>
      <c r="N28" s="32">
        <v>-1.4261336551863599</v>
      </c>
      <c r="O28" s="30">
        <v>0.15382976573736401</v>
      </c>
      <c r="P28" s="5" t="s">
        <v>29</v>
      </c>
    </row>
    <row r="29" spans="2:16" x14ac:dyDescent="0.2">
      <c r="B29" t="s">
        <v>92</v>
      </c>
      <c r="C29" s="27">
        <f>-2*(C27-C28)</f>
        <v>214.98979999999997</v>
      </c>
      <c r="J29" s="5">
        <v>17</v>
      </c>
      <c r="K29" s="5" t="s">
        <v>80</v>
      </c>
      <c r="L29" s="21">
        <v>0</v>
      </c>
      <c r="M29" s="32">
        <v>0.38140208263742598</v>
      </c>
      <c r="N29" s="32">
        <v>0</v>
      </c>
      <c r="O29" s="30">
        <v>1</v>
      </c>
      <c r="P29" s="11" t="s">
        <v>30</v>
      </c>
    </row>
    <row r="30" spans="2:16" x14ac:dyDescent="0.2">
      <c r="B30" t="s">
        <v>43</v>
      </c>
      <c r="C30" s="27">
        <v>235.79050000000001</v>
      </c>
      <c r="J30" s="5">
        <v>18</v>
      </c>
      <c r="K30" s="5" t="s">
        <v>81</v>
      </c>
      <c r="L30" s="21">
        <v>0</v>
      </c>
      <c r="M30" s="32">
        <v>3.7854166709680301</v>
      </c>
      <c r="N30" s="32">
        <v>0</v>
      </c>
      <c r="O30" s="30">
        <v>1</v>
      </c>
      <c r="P30" s="11" t="s">
        <v>30</v>
      </c>
    </row>
    <row r="31" spans="2:16" x14ac:dyDescent="0.2">
      <c r="B31" t="s">
        <v>44</v>
      </c>
      <c r="C31" s="27">
        <v>259.87849999999997</v>
      </c>
      <c r="J31" s="5">
        <v>19</v>
      </c>
      <c r="K31" s="5" t="s">
        <v>82</v>
      </c>
      <c r="L31" s="23">
        <v>-3.0781089950912901</v>
      </c>
      <c r="M31" s="32">
        <v>1.1232581174634</v>
      </c>
      <c r="N31" s="32">
        <v>-2.7403398624373501</v>
      </c>
      <c r="O31" s="30">
        <v>6.1375682520081699E-3</v>
      </c>
      <c r="P31" s="5" t="s">
        <v>29</v>
      </c>
    </row>
    <row r="32" spans="2:16" x14ac:dyDescent="0.2">
      <c r="J32" s="16" t="s">
        <v>35</v>
      </c>
      <c r="K32" s="16"/>
      <c r="L32" s="16"/>
      <c r="M32" s="16"/>
      <c r="N32" s="16"/>
      <c r="O32" s="16"/>
      <c r="P32" s="16"/>
    </row>
    <row r="33" spans="2:11" x14ac:dyDescent="0.2">
      <c r="B33" s="35" t="s">
        <v>97</v>
      </c>
      <c r="C33" s="35"/>
      <c r="D33" s="35"/>
      <c r="E33" s="35"/>
      <c r="F33" s="35"/>
      <c r="G33" s="35"/>
      <c r="H33" s="35"/>
      <c r="J33" t="s">
        <v>39</v>
      </c>
      <c r="K33">
        <v>20</v>
      </c>
    </row>
    <row r="34" spans="2:11" x14ac:dyDescent="0.2">
      <c r="B34" s="1" t="s">
        <v>93</v>
      </c>
      <c r="C34" s="1"/>
      <c r="D34" s="1"/>
      <c r="E34" s="1"/>
      <c r="F34" s="1"/>
      <c r="G34" s="1"/>
      <c r="H34" s="1"/>
      <c r="J34" t="s">
        <v>40</v>
      </c>
      <c r="K34">
        <v>55</v>
      </c>
    </row>
    <row r="35" spans="2:11" x14ac:dyDescent="0.2">
      <c r="J35" t="s">
        <v>41</v>
      </c>
      <c r="K35" s="27">
        <f>C27</f>
        <v>-213.39019999999999</v>
      </c>
    </row>
    <row r="36" spans="2:11" x14ac:dyDescent="0.2">
      <c r="B36" t="s">
        <v>36</v>
      </c>
      <c r="C36">
        <f>K33-C25</f>
        <v>8</v>
      </c>
      <c r="J36" t="s">
        <v>42</v>
      </c>
      <c r="K36" s="27">
        <v>-98.609880000000004</v>
      </c>
    </row>
    <row r="37" spans="2:11" x14ac:dyDescent="0.2">
      <c r="B37" t="s">
        <v>37</v>
      </c>
      <c r="C37" s="27">
        <f>-2*(C28-K36)</f>
        <v>14.570840000000004</v>
      </c>
      <c r="J37" t="s">
        <v>92</v>
      </c>
      <c r="K37" s="27">
        <f>-2*(K35-K36)</f>
        <v>229.56063999999998</v>
      </c>
    </row>
    <row r="38" spans="2:11" ht="20" x14ac:dyDescent="0.25">
      <c r="B38" t="s">
        <v>50</v>
      </c>
      <c r="C38" s="27">
        <f>_xlfn.CHISQ.INV(0.95,C36)</f>
        <v>15.507313055865449</v>
      </c>
      <c r="D38" s="10" t="s">
        <v>7</v>
      </c>
      <c r="E38" s="19" t="str">
        <f>IF(C37&lt;C38,"H0 cannot be rejected","H0 rejected")</f>
        <v>H0 cannot be rejected</v>
      </c>
      <c r="F38" s="19"/>
      <c r="G38" s="19"/>
      <c r="H38" s="19"/>
      <c r="J38" t="s">
        <v>43</v>
      </c>
      <c r="K38" s="27">
        <v>237.21979999999999</v>
      </c>
    </row>
    <row r="39" spans="2:11" x14ac:dyDescent="0.2">
      <c r="J39" t="s">
        <v>44</v>
      </c>
      <c r="K39" s="27">
        <v>277.3664</v>
      </c>
    </row>
  </sheetData>
  <mergeCells count="6">
    <mergeCell ref="B24:H24"/>
    <mergeCell ref="J32:P32"/>
    <mergeCell ref="B33:H33"/>
    <mergeCell ref="E38:H38"/>
    <mergeCell ref="B10:H10"/>
    <mergeCell ref="J10:P10"/>
  </mergeCells>
  <conditionalFormatting sqref="E38:H38">
    <cfRule type="cellIs" dxfId="213" priority="1" operator="equal">
      <formula>"H0 cannot be rejected"</formula>
    </cfRule>
    <cfRule type="cellIs" dxfId="212" priority="2" operator="equal">
      <formula>"H0 rejected"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6F18-8DD7-604F-B38A-00CCF6BD257D}">
  <sheetPr>
    <tabColor rgb="FF92D050"/>
  </sheetPr>
  <dimension ref="B2:P40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1" width="6.33203125" bestFit="1" customWidth="1"/>
    <col min="2" max="2" width="31.83203125" bestFit="1" customWidth="1"/>
    <col min="3" max="3" width="22.5" bestFit="1" customWidth="1"/>
    <col min="4" max="6" width="12.83203125" style="7" bestFit="1" customWidth="1"/>
    <col min="7" max="7" width="13.1640625" style="7" bestFit="1" customWidth="1"/>
    <col min="8" max="8" width="11.5" bestFit="1" customWidth="1"/>
    <col min="9" max="9" width="6.33203125" customWidth="1"/>
    <col min="10" max="10" width="31.83203125" bestFit="1" customWidth="1"/>
    <col min="11" max="11" width="26" bestFit="1" customWidth="1"/>
    <col min="12" max="14" width="12.83203125" bestFit="1" customWidth="1"/>
    <col min="15" max="15" width="13.1640625" bestFit="1" customWidth="1"/>
    <col min="16" max="16" width="11.5" bestFit="1" customWidth="1"/>
    <col min="17" max="17" width="6.33203125" customWidth="1"/>
  </cols>
  <sheetData>
    <row r="2" spans="2:16" x14ac:dyDescent="0.2">
      <c r="B2" s="13" t="s">
        <v>21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spans="2:16" x14ac:dyDescent="0.2">
      <c r="B4" s="12" t="s">
        <v>45</v>
      </c>
      <c r="C4" s="12" t="s">
        <v>46</v>
      </c>
      <c r="D4" s="2"/>
      <c r="E4" s="2"/>
      <c r="F4" s="2"/>
    </row>
    <row r="5" spans="2:16" x14ac:dyDescent="0.2">
      <c r="B5" s="5" t="s">
        <v>0</v>
      </c>
      <c r="C5" s="4" t="s">
        <v>5</v>
      </c>
      <c r="D5" s="2"/>
      <c r="E5" s="2"/>
      <c r="F5" s="2"/>
    </row>
    <row r="6" spans="2:16" x14ac:dyDescent="0.2">
      <c r="B6" s="5" t="s">
        <v>2</v>
      </c>
      <c r="C6" s="4" t="s">
        <v>5</v>
      </c>
      <c r="D6" s="2"/>
      <c r="E6" s="2"/>
      <c r="F6" s="2"/>
    </row>
    <row r="7" spans="2:16" x14ac:dyDescent="0.2">
      <c r="B7" s="5" t="s">
        <v>3</v>
      </c>
      <c r="C7" s="4" t="s">
        <v>6</v>
      </c>
      <c r="D7" s="2"/>
      <c r="E7" s="2"/>
      <c r="F7" s="2"/>
    </row>
    <row r="9" spans="2:16" x14ac:dyDescent="0.2">
      <c r="B9" s="18" t="s">
        <v>52</v>
      </c>
      <c r="C9" s="18"/>
      <c r="D9" s="18"/>
      <c r="E9" s="18"/>
      <c r="F9" s="18"/>
      <c r="G9" s="18"/>
      <c r="H9" s="18"/>
      <c r="J9" s="18" t="s">
        <v>53</v>
      </c>
      <c r="K9" s="18"/>
      <c r="L9" s="18"/>
      <c r="M9" s="18"/>
      <c r="N9" s="18"/>
      <c r="O9" s="18"/>
      <c r="P9" s="18"/>
    </row>
    <row r="10" spans="2:16" x14ac:dyDescent="0.2">
      <c r="B10" s="6" t="s">
        <v>34</v>
      </c>
      <c r="C10" s="6" t="s">
        <v>22</v>
      </c>
      <c r="D10" s="8" t="s">
        <v>23</v>
      </c>
      <c r="E10" s="8" t="s">
        <v>24</v>
      </c>
      <c r="F10" s="8" t="s">
        <v>25</v>
      </c>
      <c r="G10" s="8" t="s">
        <v>26</v>
      </c>
      <c r="H10" s="6" t="s">
        <v>27</v>
      </c>
      <c r="J10" s="6" t="s">
        <v>34</v>
      </c>
      <c r="K10" s="6" t="s">
        <v>22</v>
      </c>
      <c r="L10" s="6" t="s">
        <v>23</v>
      </c>
      <c r="M10" s="6" t="s">
        <v>24</v>
      </c>
      <c r="N10" s="6" t="s">
        <v>25</v>
      </c>
      <c r="O10" s="6" t="s">
        <v>26</v>
      </c>
      <c r="P10" s="6" t="s">
        <v>27</v>
      </c>
    </row>
    <row r="11" spans="2:16" x14ac:dyDescent="0.2">
      <c r="B11" s="5">
        <v>0</v>
      </c>
      <c r="C11" s="5" t="s">
        <v>28</v>
      </c>
      <c r="D11" s="21">
        <v>0</v>
      </c>
      <c r="E11" s="32">
        <v>0.54629029010180297</v>
      </c>
      <c r="F11" s="32">
        <v>0</v>
      </c>
      <c r="G11" s="30">
        <v>1</v>
      </c>
      <c r="H11" s="11" t="s">
        <v>30</v>
      </c>
      <c r="J11" s="5">
        <v>0</v>
      </c>
      <c r="K11" s="5" t="s">
        <v>28</v>
      </c>
      <c r="L11" s="21">
        <v>0</v>
      </c>
      <c r="M11" s="32">
        <v>0.85793919835404497</v>
      </c>
      <c r="N11" s="32">
        <v>0</v>
      </c>
      <c r="O11" s="30">
        <v>1</v>
      </c>
      <c r="P11" s="11" t="s">
        <v>30</v>
      </c>
    </row>
    <row r="12" spans="2:16" x14ac:dyDescent="0.2">
      <c r="B12" s="5">
        <v>1</v>
      </c>
      <c r="C12" s="5" t="s">
        <v>55</v>
      </c>
      <c r="D12" s="21">
        <v>0</v>
      </c>
      <c r="E12" s="32">
        <v>7.1439562269103807E-2</v>
      </c>
      <c r="F12" s="32">
        <v>0</v>
      </c>
      <c r="G12" s="30">
        <v>1</v>
      </c>
      <c r="H12" s="11" t="s">
        <v>30</v>
      </c>
      <c r="J12" s="5">
        <v>1</v>
      </c>
      <c r="K12" s="5" t="s">
        <v>64</v>
      </c>
      <c r="L12" s="23">
        <v>-0.31645149310152298</v>
      </c>
      <c r="M12" s="32">
        <v>0.44943144230085502</v>
      </c>
      <c r="N12" s="32">
        <v>-0.70411516266297602</v>
      </c>
      <c r="O12" s="30">
        <v>0.48136105819529801</v>
      </c>
      <c r="P12" s="5" t="s">
        <v>29</v>
      </c>
    </row>
    <row r="13" spans="2:16" x14ac:dyDescent="0.2">
      <c r="B13" s="5">
        <v>2</v>
      </c>
      <c r="C13" s="5" t="s">
        <v>56</v>
      </c>
      <c r="D13" s="21">
        <v>0</v>
      </c>
      <c r="E13" s="32">
        <v>8.4821391548342007E-2</v>
      </c>
      <c r="F13" s="32">
        <v>0</v>
      </c>
      <c r="G13" s="30">
        <v>1</v>
      </c>
      <c r="H13" s="11" t="s">
        <v>30</v>
      </c>
      <c r="J13" s="5">
        <v>2</v>
      </c>
      <c r="K13" s="5" t="s">
        <v>66</v>
      </c>
      <c r="L13" s="21">
        <v>0</v>
      </c>
      <c r="M13" s="32">
        <v>0.30457663458245998</v>
      </c>
      <c r="N13" s="32">
        <v>0</v>
      </c>
      <c r="O13" s="30">
        <v>1</v>
      </c>
      <c r="P13" s="11" t="s">
        <v>30</v>
      </c>
    </row>
    <row r="14" spans="2:16" x14ac:dyDescent="0.2">
      <c r="B14" s="5">
        <v>3</v>
      </c>
      <c r="C14" s="5" t="s">
        <v>57</v>
      </c>
      <c r="D14" s="23">
        <v>-0.39119526711768898</v>
      </c>
      <c r="E14" s="32">
        <v>0.22087017712517201</v>
      </c>
      <c r="F14" s="32">
        <v>-1.77115476706477</v>
      </c>
      <c r="G14" s="30">
        <v>7.6534968773172396E-2</v>
      </c>
      <c r="H14" s="5" t="s">
        <v>29</v>
      </c>
      <c r="J14" s="5">
        <v>3</v>
      </c>
      <c r="K14" s="5" t="s">
        <v>68</v>
      </c>
      <c r="L14" s="23">
        <v>-0.52064966908562005</v>
      </c>
      <c r="M14" s="32">
        <v>0.29114758282000203</v>
      </c>
      <c r="N14" s="32">
        <v>-1.78826718752978</v>
      </c>
      <c r="O14" s="30">
        <v>7.3732911036293994E-2</v>
      </c>
      <c r="P14" s="5" t="s">
        <v>29</v>
      </c>
    </row>
    <row r="15" spans="2:16" x14ac:dyDescent="0.2">
      <c r="B15" s="5">
        <v>4</v>
      </c>
      <c r="C15" s="5" t="s">
        <v>58</v>
      </c>
      <c r="D15" s="23">
        <v>-1.54930926413632</v>
      </c>
      <c r="E15" s="32">
        <v>0.364173315957876</v>
      </c>
      <c r="F15" s="32">
        <v>-4.2543184693837599</v>
      </c>
      <c r="G15" s="30">
        <v>2.09686689705002E-5</v>
      </c>
      <c r="H15" s="5" t="s">
        <v>29</v>
      </c>
      <c r="J15" s="5">
        <v>4</v>
      </c>
      <c r="K15" s="5" t="s">
        <v>70</v>
      </c>
      <c r="L15" s="23">
        <v>-0.78543023127401301</v>
      </c>
      <c r="M15" s="32">
        <v>0.215147915500429</v>
      </c>
      <c r="N15" s="32">
        <v>-3.6506522940141899</v>
      </c>
      <c r="O15" s="30">
        <v>2.61575154531845E-4</v>
      </c>
      <c r="P15" s="5" t="s">
        <v>29</v>
      </c>
    </row>
    <row r="16" spans="2:16" x14ac:dyDescent="0.2">
      <c r="B16" s="5">
        <v>5</v>
      </c>
      <c r="C16" s="5" t="s">
        <v>32</v>
      </c>
      <c r="D16" s="23">
        <v>2.8713010241155801</v>
      </c>
      <c r="E16" s="32">
        <v>0.68224512794028702</v>
      </c>
      <c r="F16" s="32">
        <v>4.20860612487495</v>
      </c>
      <c r="G16" s="30">
        <v>2.56950841728276E-5</v>
      </c>
      <c r="H16" s="5" t="s">
        <v>29</v>
      </c>
      <c r="J16" s="5">
        <v>5</v>
      </c>
      <c r="K16" s="5" t="s">
        <v>32</v>
      </c>
      <c r="L16" s="23">
        <v>3.43600044293638</v>
      </c>
      <c r="M16" s="32">
        <v>0.71769993344323002</v>
      </c>
      <c r="N16" s="32">
        <v>4.7875167362101596</v>
      </c>
      <c r="O16" s="30">
        <v>1.6885766025431701E-6</v>
      </c>
      <c r="P16" s="5" t="s">
        <v>29</v>
      </c>
    </row>
    <row r="17" spans="2:16" x14ac:dyDescent="0.2">
      <c r="B17" s="5">
        <v>6</v>
      </c>
      <c r="C17" s="5" t="s">
        <v>33</v>
      </c>
      <c r="D17" s="23">
        <v>2.5223663606862501</v>
      </c>
      <c r="E17" s="32">
        <v>1.12644467408835</v>
      </c>
      <c r="F17" s="32">
        <v>2.2392279165664499</v>
      </c>
      <c r="G17" s="30">
        <v>2.51410903025657E-2</v>
      </c>
      <c r="H17" s="5" t="s">
        <v>29</v>
      </c>
      <c r="J17" s="5">
        <v>6</v>
      </c>
      <c r="K17" s="5" t="s">
        <v>72</v>
      </c>
      <c r="L17" s="21">
        <v>0</v>
      </c>
      <c r="M17" s="32">
        <v>7.6378797760211406E-2</v>
      </c>
      <c r="N17" s="32">
        <v>0</v>
      </c>
      <c r="O17" s="30">
        <v>1</v>
      </c>
      <c r="P17" s="11" t="s">
        <v>30</v>
      </c>
    </row>
    <row r="18" spans="2:16" x14ac:dyDescent="0.2">
      <c r="B18" s="5">
        <v>7</v>
      </c>
      <c r="C18" s="5" t="s">
        <v>59</v>
      </c>
      <c r="D18" s="23">
        <v>-0.92666032311832702</v>
      </c>
      <c r="E18" s="32">
        <v>0.27728200125207902</v>
      </c>
      <c r="F18" s="32">
        <v>-3.3419418459689001</v>
      </c>
      <c r="G18" s="30">
        <v>8.3194488914628496E-4</v>
      </c>
      <c r="H18" s="5" t="s">
        <v>29</v>
      </c>
      <c r="J18" s="5">
        <v>7</v>
      </c>
      <c r="K18" s="5" t="s">
        <v>74</v>
      </c>
      <c r="L18" s="21">
        <v>0</v>
      </c>
      <c r="M18" s="32">
        <v>8.8077878492249295E-2</v>
      </c>
      <c r="N18" s="32">
        <v>0</v>
      </c>
      <c r="O18" s="30">
        <v>1</v>
      </c>
      <c r="P18" s="11" t="s">
        <v>30</v>
      </c>
    </row>
    <row r="19" spans="2:16" x14ac:dyDescent="0.2">
      <c r="B19" s="5">
        <v>8</v>
      </c>
      <c r="C19" s="5" t="s">
        <v>60</v>
      </c>
      <c r="D19" s="23">
        <v>-0.62225451393212705</v>
      </c>
      <c r="E19" s="32">
        <v>0.45046367902218298</v>
      </c>
      <c r="F19" s="32">
        <v>-1.38136445380646</v>
      </c>
      <c r="G19" s="30">
        <v>0.167166929583213</v>
      </c>
      <c r="H19" s="5" t="s">
        <v>29</v>
      </c>
      <c r="J19" s="5">
        <v>8</v>
      </c>
      <c r="K19" s="5" t="s">
        <v>76</v>
      </c>
      <c r="L19" s="21">
        <v>0</v>
      </c>
      <c r="M19" s="32">
        <v>2.5706593397721802</v>
      </c>
      <c r="N19" s="32">
        <v>0</v>
      </c>
      <c r="O19" s="30">
        <v>1</v>
      </c>
      <c r="P19" s="11" t="s">
        <v>30</v>
      </c>
    </row>
    <row r="20" spans="2:16" x14ac:dyDescent="0.2">
      <c r="B20" s="5">
        <v>9</v>
      </c>
      <c r="C20" s="5" t="s">
        <v>61</v>
      </c>
      <c r="D20" s="23">
        <v>-4.7007854130570399</v>
      </c>
      <c r="E20" s="32">
        <v>2.5775589610168899</v>
      </c>
      <c r="F20" s="32">
        <v>-1.8237353574261199</v>
      </c>
      <c r="G20" s="30">
        <v>6.81920907506368E-2</v>
      </c>
      <c r="H20" s="5" t="s">
        <v>29</v>
      </c>
      <c r="J20" s="5">
        <v>9</v>
      </c>
      <c r="K20" s="5" t="s">
        <v>78</v>
      </c>
      <c r="L20" s="23">
        <v>-2.4717754294000698</v>
      </c>
      <c r="M20" s="32">
        <v>0.53873437169770499</v>
      </c>
      <c r="N20" s="32">
        <v>-4.5881153296582902</v>
      </c>
      <c r="O20" s="30">
        <v>4.4726553920515499E-6</v>
      </c>
      <c r="P20" s="5" t="s">
        <v>29</v>
      </c>
    </row>
    <row r="21" spans="2:16" x14ac:dyDescent="0.2">
      <c r="B21" s="12">
        <v>10</v>
      </c>
      <c r="C21" s="12" t="s">
        <v>62</v>
      </c>
      <c r="D21" s="33">
        <v>-4.6636128998153898</v>
      </c>
      <c r="E21" s="34">
        <v>1.32915965533777</v>
      </c>
      <c r="F21" s="34">
        <v>-3.5086927902805201</v>
      </c>
      <c r="G21" s="31">
        <v>4.5031473024548197E-4</v>
      </c>
      <c r="H21" s="12" t="s">
        <v>29</v>
      </c>
      <c r="J21" s="5">
        <v>10</v>
      </c>
      <c r="K21" s="5" t="s">
        <v>33</v>
      </c>
      <c r="L21" s="23">
        <v>1.9563268855584299</v>
      </c>
      <c r="M21" s="32">
        <v>1.1290398074613801</v>
      </c>
      <c r="N21" s="32">
        <v>1.7327350839446201</v>
      </c>
      <c r="O21" s="30">
        <v>8.3142765670150401E-2</v>
      </c>
      <c r="P21" s="5" t="s">
        <v>29</v>
      </c>
    </row>
    <row r="22" spans="2:16" x14ac:dyDescent="0.2">
      <c r="B22" s="16" t="s">
        <v>35</v>
      </c>
      <c r="C22" s="16"/>
      <c r="D22" s="16"/>
      <c r="E22" s="16"/>
      <c r="F22" s="16"/>
      <c r="G22" s="16"/>
      <c r="H22" s="16"/>
      <c r="J22" s="5">
        <v>11</v>
      </c>
      <c r="K22" s="5" t="s">
        <v>79</v>
      </c>
      <c r="L22" s="23">
        <v>-0.80379288806093696</v>
      </c>
      <c r="M22" s="32">
        <v>0.311369889459153</v>
      </c>
      <c r="N22" s="32">
        <v>-2.5814727604429502</v>
      </c>
      <c r="O22" s="30">
        <v>9.8379754846535904E-3</v>
      </c>
      <c r="P22" s="5" t="s">
        <v>29</v>
      </c>
    </row>
    <row r="23" spans="2:16" x14ac:dyDescent="0.2">
      <c r="B23" t="s">
        <v>39</v>
      </c>
      <c r="C23">
        <v>11</v>
      </c>
      <c r="J23" s="5">
        <v>12</v>
      </c>
      <c r="K23" s="5" t="s">
        <v>80</v>
      </c>
      <c r="L23" s="23">
        <v>-0.33771465276798102</v>
      </c>
      <c r="M23" s="32">
        <v>0.39691706654466102</v>
      </c>
      <c r="N23" s="32">
        <v>-0.85084437337990204</v>
      </c>
      <c r="O23" s="30">
        <v>0.39485580864991499</v>
      </c>
      <c r="P23" s="5" t="s">
        <v>29</v>
      </c>
    </row>
    <row r="24" spans="2:16" x14ac:dyDescent="0.2">
      <c r="B24" t="s">
        <v>40</v>
      </c>
      <c r="C24">
        <v>127</v>
      </c>
      <c r="J24" s="5">
        <v>13</v>
      </c>
      <c r="K24" s="5" t="s">
        <v>81</v>
      </c>
      <c r="L24" s="23">
        <v>-4.6467999400024196</v>
      </c>
      <c r="M24" s="32">
        <v>2.4871385563841599</v>
      </c>
      <c r="N24" s="32">
        <v>-1.86833175340179</v>
      </c>
      <c r="O24" s="30">
        <v>6.1715843250448099E-2</v>
      </c>
      <c r="P24" s="5" t="s">
        <v>29</v>
      </c>
    </row>
    <row r="25" spans="2:16" x14ac:dyDescent="0.2">
      <c r="B25" t="s">
        <v>41</v>
      </c>
      <c r="C25" s="27">
        <v>-509.10250000000002</v>
      </c>
      <c r="J25" s="12">
        <v>14</v>
      </c>
      <c r="K25" s="12" t="s">
        <v>82</v>
      </c>
      <c r="L25" s="33">
        <v>-5.5098170294103097</v>
      </c>
      <c r="M25" s="34">
        <v>1.6929548505738901</v>
      </c>
      <c r="N25" s="34">
        <v>-3.2545563914728999</v>
      </c>
      <c r="O25" s="31">
        <v>1.13569610475194E-3</v>
      </c>
      <c r="P25" s="12" t="s">
        <v>29</v>
      </c>
    </row>
    <row r="26" spans="2:16" x14ac:dyDescent="0.2">
      <c r="B26" t="s">
        <v>42</v>
      </c>
      <c r="C26" s="27">
        <v>-257.61680000000001</v>
      </c>
      <c r="J26" s="16" t="s">
        <v>35</v>
      </c>
      <c r="K26" s="16"/>
      <c r="L26" s="16"/>
      <c r="M26" s="16"/>
      <c r="N26" s="16"/>
      <c r="O26" s="16"/>
      <c r="P26" s="16"/>
    </row>
    <row r="27" spans="2:16" x14ac:dyDescent="0.2">
      <c r="B27" t="s">
        <v>92</v>
      </c>
      <c r="C27" s="27">
        <f>-2*(C25-C26)</f>
        <v>502.97140000000002</v>
      </c>
      <c r="J27" t="s">
        <v>39</v>
      </c>
      <c r="K27">
        <v>15</v>
      </c>
      <c r="L27" s="7"/>
      <c r="M27" s="7"/>
      <c r="N27" s="7"/>
      <c r="O27" s="7"/>
    </row>
    <row r="28" spans="2:16" x14ac:dyDescent="0.2">
      <c r="B28" t="s">
        <v>43</v>
      </c>
      <c r="C28" s="27">
        <v>537.23360000000002</v>
      </c>
      <c r="J28" t="s">
        <v>40</v>
      </c>
      <c r="K28">
        <v>127</v>
      </c>
      <c r="L28" s="7"/>
      <c r="M28" s="7"/>
      <c r="N28" s="7"/>
      <c r="O28" s="7"/>
    </row>
    <row r="29" spans="2:16" x14ac:dyDescent="0.2">
      <c r="B29" t="s">
        <v>44</v>
      </c>
      <c r="C29" s="27">
        <v>568.51959999999997</v>
      </c>
      <c r="J29" t="s">
        <v>41</v>
      </c>
      <c r="K29" s="27">
        <f>C25</f>
        <v>-509.10250000000002</v>
      </c>
      <c r="L29" s="7"/>
      <c r="M29" s="7"/>
      <c r="N29" s="7"/>
      <c r="O29" s="7"/>
    </row>
    <row r="30" spans="2:16" x14ac:dyDescent="0.2">
      <c r="J30" t="s">
        <v>42</v>
      </c>
      <c r="K30" s="27">
        <v>-232.26390000000001</v>
      </c>
      <c r="L30" s="7"/>
      <c r="M30" s="7"/>
      <c r="N30" s="7"/>
      <c r="O30" s="7"/>
    </row>
    <row r="31" spans="2:16" x14ac:dyDescent="0.2">
      <c r="B31" s="35" t="s">
        <v>97</v>
      </c>
      <c r="C31" s="35"/>
      <c r="D31" s="35"/>
      <c r="E31" s="35"/>
      <c r="F31" s="35"/>
      <c r="G31" s="35"/>
      <c r="H31" s="35"/>
      <c r="J31" t="s">
        <v>92</v>
      </c>
      <c r="K31" s="27">
        <f>-2*(K29-K30)</f>
        <v>553.67720000000008</v>
      </c>
      <c r="L31" s="7"/>
      <c r="M31" s="7"/>
      <c r="N31" s="7"/>
      <c r="O31" s="7"/>
    </row>
    <row r="32" spans="2:16" x14ac:dyDescent="0.2">
      <c r="B32" s="1" t="s">
        <v>93</v>
      </c>
      <c r="C32" s="1"/>
      <c r="D32" s="1"/>
      <c r="E32" s="1"/>
      <c r="F32" s="1"/>
      <c r="G32" s="1"/>
      <c r="H32" s="1"/>
      <c r="J32" t="s">
        <v>43</v>
      </c>
      <c r="K32" s="27">
        <v>494.52780000000001</v>
      </c>
    </row>
    <row r="33" spans="2:16" x14ac:dyDescent="0.2">
      <c r="J33" t="s">
        <v>44</v>
      </c>
      <c r="K33" s="27">
        <v>537.19060000000002</v>
      </c>
    </row>
    <row r="34" spans="2:16" x14ac:dyDescent="0.2">
      <c r="B34" t="s">
        <v>36</v>
      </c>
      <c r="C34">
        <f>K27-C23</f>
        <v>4</v>
      </c>
    </row>
    <row r="35" spans="2:16" x14ac:dyDescent="0.2">
      <c r="B35" t="s">
        <v>37</v>
      </c>
      <c r="C35" s="27">
        <f>-2*(C26-K30)</f>
        <v>50.705800000000011</v>
      </c>
      <c r="J35" s="9"/>
      <c r="K35" s="9"/>
      <c r="L35" s="9"/>
      <c r="M35" s="9"/>
      <c r="N35" s="9"/>
      <c r="O35" s="9"/>
      <c r="P35" s="9"/>
    </row>
    <row r="36" spans="2:16" ht="20" x14ac:dyDescent="0.25">
      <c r="B36" t="s">
        <v>38</v>
      </c>
      <c r="C36" s="27">
        <f>_xlfn.CHISQ.INV(0.95,C34)</f>
        <v>9.4877290367811575</v>
      </c>
      <c r="D36" s="10" t="s">
        <v>7</v>
      </c>
      <c r="E36" s="19" t="str">
        <f>IF(C35&lt;C36,"H0 cannot be rejected","H0 rejected")</f>
        <v>H0 rejected</v>
      </c>
      <c r="F36" s="19"/>
      <c r="G36" s="19"/>
      <c r="H36" s="19"/>
      <c r="J36" s="1"/>
      <c r="K36" s="1"/>
      <c r="L36" s="1"/>
      <c r="M36" s="1"/>
      <c r="N36" s="1"/>
      <c r="O36" s="1"/>
      <c r="P36" s="1"/>
    </row>
    <row r="40" spans="2:16" x14ac:dyDescent="0.2">
      <c r="L40" s="3"/>
      <c r="M40" s="15"/>
      <c r="N40" s="14"/>
      <c r="O40" s="14"/>
      <c r="P40" s="14"/>
    </row>
  </sheetData>
  <mergeCells count="6">
    <mergeCell ref="B22:H22"/>
    <mergeCell ref="J26:P26"/>
    <mergeCell ref="B31:H31"/>
    <mergeCell ref="E36:H36"/>
    <mergeCell ref="B9:H9"/>
    <mergeCell ref="J9:P9"/>
  </mergeCells>
  <conditionalFormatting sqref="E36:H36">
    <cfRule type="cellIs" dxfId="211" priority="3" operator="equal">
      <formula>"H0 cannot be rejected"</formula>
    </cfRule>
    <cfRule type="cellIs" dxfId="210" priority="4" operator="equal">
      <formula>"H0 rejected"</formula>
    </cfRule>
  </conditionalFormatting>
  <conditionalFormatting sqref="M40:P40">
    <cfRule type="cellIs" dxfId="209" priority="1" operator="equal">
      <formula>"H0 cannot be rejected"</formula>
    </cfRule>
    <cfRule type="cellIs" dxfId="208" priority="2" operator="equal">
      <formula>"H0 rejected"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508F-04ED-434D-91C8-75257599CC5B}">
  <sheetPr>
    <tabColor theme="0" tint="-0.14999847407452621"/>
  </sheetPr>
  <dimension ref="B2:AF44"/>
  <sheetViews>
    <sheetView zoomScale="150" zoomScaleNormal="15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:D2"/>
    </sheetView>
  </sheetViews>
  <sheetFormatPr baseColWidth="10" defaultRowHeight="16" x14ac:dyDescent="0.2"/>
  <cols>
    <col min="1" max="1" width="3.33203125" customWidth="1"/>
    <col min="2" max="2" width="25.33203125" style="2" bestFit="1" customWidth="1"/>
    <col min="3" max="3" width="5.6640625" style="22" bestFit="1" customWidth="1"/>
    <col min="4" max="4" width="13.1640625" style="28" bestFit="1" customWidth="1"/>
    <col min="5" max="5" width="5.6640625" style="22" bestFit="1" customWidth="1"/>
    <col min="6" max="6" width="13.1640625" style="28" bestFit="1" customWidth="1"/>
    <col min="7" max="7" width="5.6640625" style="22" bestFit="1" customWidth="1"/>
    <col min="8" max="8" width="13.1640625" style="28" bestFit="1" customWidth="1"/>
    <col min="9" max="9" width="5.6640625" style="22" bestFit="1" customWidth="1"/>
    <col min="10" max="10" width="13.1640625" style="28" bestFit="1" customWidth="1"/>
    <col min="11" max="11" width="5.6640625" style="22" bestFit="1" customWidth="1"/>
    <col min="12" max="12" width="13.1640625" style="28" bestFit="1" customWidth="1"/>
    <col min="13" max="13" width="5.6640625" style="22" bestFit="1" customWidth="1"/>
    <col min="14" max="14" width="13.1640625" style="28" bestFit="1" customWidth="1"/>
    <col min="15" max="15" width="5.6640625" style="22" bestFit="1" customWidth="1"/>
    <col min="16" max="16" width="13.1640625" style="28" bestFit="1" customWidth="1"/>
    <col min="17" max="17" width="6.33203125" style="22" bestFit="1" customWidth="1"/>
    <col min="18" max="18" width="13.1640625" style="28" bestFit="1" customWidth="1"/>
    <col min="19" max="19" width="5.6640625" style="22" bestFit="1" customWidth="1"/>
    <col min="20" max="20" width="13.1640625" style="28" bestFit="1" customWidth="1"/>
    <col min="21" max="21" width="6.33203125" style="22" bestFit="1" customWidth="1"/>
    <col min="22" max="22" width="13.1640625" style="28" bestFit="1" customWidth="1"/>
    <col min="23" max="23" width="5.6640625" style="22" bestFit="1" customWidth="1"/>
    <col min="24" max="24" width="13.1640625" style="28" bestFit="1" customWidth="1"/>
    <col min="25" max="25" width="5.6640625" style="22" bestFit="1" customWidth="1"/>
    <col min="26" max="26" width="13.1640625" style="28" bestFit="1" customWidth="1"/>
    <col min="27" max="27" width="5.6640625" style="22" bestFit="1" customWidth="1"/>
    <col min="28" max="28" width="13.1640625" style="28" bestFit="1" customWidth="1"/>
    <col min="29" max="29" width="3.33203125" customWidth="1"/>
    <col min="30" max="30" width="10.83203125" style="2"/>
    <col min="31" max="31" width="12.83203125" style="2" bestFit="1" customWidth="1"/>
    <col min="32" max="32" width="10.83203125" style="2"/>
  </cols>
  <sheetData>
    <row r="2" spans="2:32" x14ac:dyDescent="0.2">
      <c r="C2" s="38" t="s">
        <v>4</v>
      </c>
      <c r="D2" s="38"/>
      <c r="E2" s="38" t="s">
        <v>8</v>
      </c>
      <c r="F2" s="38"/>
      <c r="G2" s="38" t="s">
        <v>9</v>
      </c>
      <c r="H2" s="38"/>
      <c r="I2" s="38" t="s">
        <v>10</v>
      </c>
      <c r="J2" s="38"/>
      <c r="K2" s="38" t="s">
        <v>12</v>
      </c>
      <c r="L2" s="38"/>
      <c r="M2" s="38" t="s">
        <v>13</v>
      </c>
      <c r="N2" s="38"/>
      <c r="O2" s="38" t="s">
        <v>14</v>
      </c>
      <c r="P2" s="38"/>
      <c r="Q2" s="38" t="s">
        <v>15</v>
      </c>
      <c r="R2" s="38"/>
      <c r="S2" s="38" t="s">
        <v>16</v>
      </c>
      <c r="T2" s="38"/>
      <c r="U2" s="38" t="s">
        <v>17</v>
      </c>
      <c r="V2" s="38"/>
      <c r="W2" s="38" t="s">
        <v>18</v>
      </c>
      <c r="X2" s="38"/>
      <c r="Y2" s="38" t="s">
        <v>20</v>
      </c>
      <c r="Z2" s="38"/>
      <c r="AA2" s="38" t="s">
        <v>21</v>
      </c>
      <c r="AB2" s="38"/>
    </row>
    <row r="3" spans="2:32" x14ac:dyDescent="0.2">
      <c r="C3" s="40">
        <v>2</v>
      </c>
      <c r="D3" s="40">
        <v>5</v>
      </c>
      <c r="E3" s="40">
        <v>2</v>
      </c>
      <c r="F3" s="40">
        <v>5</v>
      </c>
      <c r="G3" s="40">
        <v>2</v>
      </c>
      <c r="H3" s="40">
        <v>5</v>
      </c>
      <c r="I3" s="40">
        <v>2</v>
      </c>
      <c r="J3" s="40">
        <v>5</v>
      </c>
      <c r="K3" s="40">
        <v>2</v>
      </c>
      <c r="L3" s="40">
        <v>5</v>
      </c>
      <c r="M3" s="40">
        <v>2</v>
      </c>
      <c r="N3" s="40">
        <v>5</v>
      </c>
      <c r="O3" s="40">
        <v>2</v>
      </c>
      <c r="P3" s="40">
        <v>5</v>
      </c>
      <c r="Q3" s="40">
        <v>2</v>
      </c>
      <c r="R3" s="40">
        <v>5</v>
      </c>
      <c r="S3" s="40">
        <v>2</v>
      </c>
      <c r="T3" s="40">
        <v>5</v>
      </c>
      <c r="U3" s="40">
        <v>2</v>
      </c>
      <c r="V3" s="40">
        <v>5</v>
      </c>
      <c r="W3" s="40">
        <v>2</v>
      </c>
      <c r="X3" s="40">
        <v>5</v>
      </c>
      <c r="Y3" s="40">
        <v>2</v>
      </c>
      <c r="Z3" s="40">
        <v>5</v>
      </c>
      <c r="AA3" s="40">
        <v>2</v>
      </c>
      <c r="AB3" s="40">
        <v>5</v>
      </c>
    </row>
    <row r="4" spans="2:32" x14ac:dyDescent="0.2">
      <c r="B4" s="36" t="s">
        <v>0</v>
      </c>
      <c r="C4" s="22" t="s">
        <v>23</v>
      </c>
      <c r="D4" s="39" t="s">
        <v>26</v>
      </c>
      <c r="E4" s="22" t="s">
        <v>23</v>
      </c>
      <c r="F4" s="39" t="s">
        <v>26</v>
      </c>
      <c r="G4" s="22" t="s">
        <v>23</v>
      </c>
      <c r="H4" s="39" t="s">
        <v>26</v>
      </c>
      <c r="I4" s="22" t="s">
        <v>23</v>
      </c>
      <c r="J4" s="39" t="s">
        <v>26</v>
      </c>
      <c r="K4" s="22" t="s">
        <v>23</v>
      </c>
      <c r="L4" s="39" t="s">
        <v>26</v>
      </c>
      <c r="M4" s="22" t="s">
        <v>23</v>
      </c>
      <c r="N4" s="39" t="s">
        <v>26</v>
      </c>
      <c r="O4" s="22" t="s">
        <v>23</v>
      </c>
      <c r="P4" s="39" t="s">
        <v>26</v>
      </c>
      <c r="Q4" s="22" t="s">
        <v>23</v>
      </c>
      <c r="R4" s="39" t="s">
        <v>26</v>
      </c>
      <c r="S4" s="22" t="s">
        <v>23</v>
      </c>
      <c r="T4" s="39" t="s">
        <v>26</v>
      </c>
      <c r="U4" s="22" t="s">
        <v>23</v>
      </c>
      <c r="V4" s="39" t="s">
        <v>26</v>
      </c>
      <c r="W4" s="22" t="s">
        <v>23</v>
      </c>
      <c r="X4" s="39" t="s">
        <v>26</v>
      </c>
      <c r="Y4" s="22" t="s">
        <v>23</v>
      </c>
      <c r="Z4" s="39" t="s">
        <v>26</v>
      </c>
      <c r="AA4" s="22" t="s">
        <v>23</v>
      </c>
      <c r="AB4" s="39" t="s">
        <v>26</v>
      </c>
      <c r="AD4" s="11" t="s">
        <v>103</v>
      </c>
      <c r="AE4" s="11" t="s">
        <v>104</v>
      </c>
      <c r="AF4" s="11" t="s">
        <v>105</v>
      </c>
    </row>
    <row r="5" spans="2:32" x14ac:dyDescent="0.2">
      <c r="B5" s="5" t="s">
        <v>64</v>
      </c>
      <c r="C5" s="22">
        <f>VLOOKUP($B5,H01_M3,C$3,FALSE)</f>
        <v>0</v>
      </c>
      <c r="D5" s="28">
        <f>VLOOKUP($B5,H01_M3,D$3,FALSE)</f>
        <v>1</v>
      </c>
      <c r="E5" s="22">
        <f>VLOOKUP($B5,H02_M3,E$3,FALSE)</f>
        <v>0</v>
      </c>
      <c r="F5" s="28">
        <f>VLOOKUP($B5,H02_M3,F$3,FALSE)</f>
        <v>1</v>
      </c>
      <c r="G5" s="22">
        <f>VLOOKUP($B5,H03_M3,G$3,FALSE)</f>
        <v>-1.87691803000265</v>
      </c>
      <c r="H5" s="28">
        <f>VLOOKUP($B5,H03_M3,H$3,FALSE)</f>
        <v>3.9658353074239497E-2</v>
      </c>
      <c r="I5" s="22">
        <f>VLOOKUP($B5,H04_M3,I$3,FALSE)</f>
        <v>0</v>
      </c>
      <c r="J5" s="28">
        <f>VLOOKUP($B5,H04_M3,J$3,FALSE)</f>
        <v>1</v>
      </c>
      <c r="K5" s="22">
        <f>VLOOKUP($B5,H05_M3,K$3,FALSE)</f>
        <v>-1.74016984252698</v>
      </c>
      <c r="L5" s="28">
        <f>VLOOKUP($B5,H05_M3,L$3,FALSE)</f>
        <v>2.4671686329469299E-6</v>
      </c>
      <c r="M5" s="22" t="s">
        <v>48</v>
      </c>
      <c r="N5" s="28" t="s">
        <v>48</v>
      </c>
      <c r="O5" s="22">
        <f>VLOOKUP($B5,H07_M3,O$3,FALSE)</f>
        <v>-0.472484918104423</v>
      </c>
      <c r="P5" s="28">
        <f>VLOOKUP($B5,H07_M3,P$3,FALSE)</f>
        <v>9.4196706418847101E-2</v>
      </c>
      <c r="Q5" s="22">
        <f>VLOOKUP($B5,H08_M3,Q$3,FALSE)</f>
        <v>0</v>
      </c>
      <c r="R5" s="28">
        <f>VLOOKUP($B5,H08_M3,R$3,FALSE)</f>
        <v>1</v>
      </c>
      <c r="S5" s="22" t="s">
        <v>48</v>
      </c>
      <c r="T5" s="28" t="s">
        <v>48</v>
      </c>
      <c r="U5" s="22">
        <f>VLOOKUP($B5,H10_M3,U$3,FALSE)</f>
        <v>0</v>
      </c>
      <c r="V5" s="28">
        <f>VLOOKUP($B5,H10_M3,V$3,FALSE)</f>
        <v>1</v>
      </c>
      <c r="W5" s="22">
        <f>VLOOKUP($B5,H11_M3,W$3,FALSE)</f>
        <v>0</v>
      </c>
      <c r="X5" s="28">
        <f>VLOOKUP($B5,H11_M3,X$3,FALSE)</f>
        <v>1</v>
      </c>
      <c r="Y5" s="22">
        <f>VLOOKUP($B5,H12_M3,Y$3,FALSE)</f>
        <v>-0.77299743785977404</v>
      </c>
      <c r="Z5" s="28">
        <f>VLOOKUP($B5,H12_M3,Z$3,FALSE)</f>
        <v>4.9388746791189299E-2</v>
      </c>
      <c r="AA5" s="22">
        <f>VLOOKUP($B5,H13_M3,AA$3,FALSE)</f>
        <v>-0.31645149310152298</v>
      </c>
      <c r="AB5" s="28">
        <f>VLOOKUP($B5,H13_M3,AB$3,FALSE)</f>
        <v>0.48136105819529801</v>
      </c>
      <c r="AD5" s="2" cm="1">
        <f t="array" ref="AD5">SUMPRODUCT((MOD(COLUMN($C5:$AA5),2)=1)*ISNUMBER($C5:$AA5)*($C5:$AA5&lt;&gt;0)*($D5:$AB5&lt;0.05))+SUMPRODUCT((MOD(COLUMN($C12:$AA12),2)=1)*ISNUMBER($C12:$AA12)*($C12:$AA12&lt;&gt;0)*($D12:$AB12&lt;0.05))++SUMPRODUCT((MOD(COLUMN($C19:$AA19),2)=1)*ISNUMBER($C19:$AA19)*($C19:$AA19&lt;&gt;0)*($D19:$AB19&lt;0.05))</f>
        <v>3</v>
      </c>
      <c r="AE5" s="2" cm="1">
        <f t="array" ref="AE5">SUMPRODUCT((MOD(COLUMN($C5:$AA5),2)=1)*ISNUMBER($C5:$AA5)*($C5:$AA5&lt;&gt;0)*($D5:$AB5&gt;=0.05))+SUMPRODUCT((MOD(COLUMN($C12:$AA12),2)=1)*ISNUMBER($C12:$AA12)*($C12:$AA12&lt;&gt;0)*($D12:$AB12&gt;=0.05))+SUMPRODUCT((MOD(COLUMN($C19:$AA19),2)=1)*ISNUMBER($C19:$AA19)*($C19:$AA19&lt;&gt;0)*($D19:$AB19&gt;=0.05))</f>
        <v>2</v>
      </c>
      <c r="AF5" s="2" cm="1">
        <f t="array" ref="AF5">SUMPRODUCT((MOD(COLUMN($C5:$AA5),2)=1)*ISNUMBER($C5:$AA5)*($C5:$AA5=0))+SUMPRODUCT((MOD(COLUMN($C12:$AA12),2)=1)*ISNUMBER($C12:$AA12)*($C12:$AA12=0))+SUMPRODUCT((MOD(COLUMN($C19:$AA19),2)=1)*ISNUMBER($C19:$AA19)*($C19:$AA19=0))</f>
        <v>13</v>
      </c>
    </row>
    <row r="6" spans="2:32" x14ac:dyDescent="0.2">
      <c r="B6" s="5" t="s">
        <v>66</v>
      </c>
      <c r="C6" s="22">
        <f>VLOOKUP($B6,H01_M3,C$3,FALSE)</f>
        <v>0</v>
      </c>
      <c r="D6" s="28">
        <f>VLOOKUP($B6,H01_M3,D$3,FALSE)</f>
        <v>1</v>
      </c>
      <c r="E6" s="22">
        <f>VLOOKUP($B6,H02_M3,E$3,FALSE)</f>
        <v>0</v>
      </c>
      <c r="F6" s="28">
        <f>VLOOKUP($B6,H02_M3,F$3,FALSE)</f>
        <v>1</v>
      </c>
      <c r="G6" s="22">
        <f>VLOOKUP($B6,H03_M3,G$3,FALSE)</f>
        <v>-2.6092109680336399</v>
      </c>
      <c r="H6" s="28">
        <f>VLOOKUP($B6,H03_M3,H$3,FALSE)</f>
        <v>2.1462249039094701E-5</v>
      </c>
      <c r="I6" s="22">
        <f>VLOOKUP($B6,H04_M3,I$3,FALSE)</f>
        <v>-0.58342662791454303</v>
      </c>
      <c r="J6" s="28">
        <f>VLOOKUP($B6,H04_M3,J$3,FALSE)</f>
        <v>3.4779155568558803E-2</v>
      </c>
      <c r="K6" s="22">
        <f>VLOOKUP($B6,H05_M3,K$3,FALSE)</f>
        <v>-2.0128973543227699</v>
      </c>
      <c r="L6" s="28">
        <f>VLOOKUP($B6,H05_M3,L$3,FALSE)</f>
        <v>3.6990236310430103E-5</v>
      </c>
      <c r="M6" s="22" t="s">
        <v>48</v>
      </c>
      <c r="N6" s="28" t="s">
        <v>48</v>
      </c>
      <c r="O6" s="22">
        <f>VLOOKUP($B6,H07_M3,O$3,FALSE)</f>
        <v>-0.49881683894576401</v>
      </c>
      <c r="P6" s="28">
        <f>VLOOKUP($B6,H07_M3,P$3,FALSE)</f>
        <v>0.47370668504498997</v>
      </c>
      <c r="Q6" s="22">
        <f>VLOOKUP($B6,H08_M3,Q$3,FALSE)</f>
        <v>0</v>
      </c>
      <c r="R6" s="28">
        <f>VLOOKUP($B6,H08_M3,R$3,FALSE)</f>
        <v>1</v>
      </c>
      <c r="S6" s="22" t="s">
        <v>48</v>
      </c>
      <c r="T6" s="28" t="s">
        <v>48</v>
      </c>
      <c r="U6" s="22">
        <f>VLOOKUP($B6,H10_M3,U$3,FALSE)</f>
        <v>-1.7310052356194001E-2</v>
      </c>
      <c r="V6" s="28">
        <f>VLOOKUP($B6,H10_M3,V$3,FALSE)</f>
        <v>0.96850887419693499</v>
      </c>
      <c r="W6" s="22">
        <f>VLOOKUP($B6,H11_M3,W$3,FALSE)</f>
        <v>0</v>
      </c>
      <c r="X6" s="28">
        <f>VLOOKUP($B6,H11_M3,X$3,FALSE)</f>
        <v>1</v>
      </c>
      <c r="Y6" s="22">
        <f>VLOOKUP($B6,H12_M3,Y$3,FALSE)</f>
        <v>0</v>
      </c>
      <c r="Z6" s="28">
        <f>VLOOKUP($B6,H12_M3,Z$3,FALSE)</f>
        <v>1</v>
      </c>
      <c r="AA6" s="22">
        <f>VLOOKUP($B6,H13_M3,AA$3,FALSE)</f>
        <v>0</v>
      </c>
      <c r="AB6" s="28">
        <f>VLOOKUP($B6,H13_M3,AB$3,FALSE)</f>
        <v>1</v>
      </c>
      <c r="AD6" s="2" cm="1">
        <f t="array" ref="AD6">SUMPRODUCT((MOD(COLUMN($C6:$AA6),2)=1)*ISNUMBER($C6:$AA6)*($C6:$AA6&lt;&gt;0)*($D6:$AB6&lt;0.05))+SUMPRODUCT((MOD(COLUMN($C13:$AA13),2)=1)*ISNUMBER($C13:$AA13)*($C13:$AA13&lt;&gt;0)*($D13:$AB13&lt;0.05))++SUMPRODUCT((MOD(COLUMN($C20:$AA20),2)=1)*ISNUMBER($C20:$AA20)*($C20:$AA20&lt;&gt;0)*($D20:$AB20&lt;0.05))</f>
        <v>3</v>
      </c>
      <c r="AE6" s="2" cm="1">
        <f t="array" ref="AE6">SUMPRODUCT((MOD(COLUMN($C6:$AA6),2)=1)*ISNUMBER($C6:$AA6)*($C6:$AA6&lt;&gt;0)*($D6:$AB6&gt;=0.05))+SUMPRODUCT((MOD(COLUMN($C13:$AA13),2)=1)*ISNUMBER($C13:$AA13)*($C13:$AA13&lt;&gt;0)*($D13:$AB13&gt;=0.05))+SUMPRODUCT((MOD(COLUMN($C20:$AA20),2)=1)*ISNUMBER($C20:$AA20)*($C20:$AA20&lt;&gt;0)*($D20:$AB20&gt;=0.05))</f>
        <v>4</v>
      </c>
      <c r="AF6" s="2" cm="1">
        <f t="array" ref="AF6">SUMPRODUCT((MOD(COLUMN($C6:$AA6),2)=1)*ISNUMBER($C6:$AA6)*($C6:$AA6=0))+SUMPRODUCT((MOD(COLUMN($C13:$AA13),2)=1)*ISNUMBER($C13:$AA13)*($C13:$AA13=0))+SUMPRODUCT((MOD(COLUMN($C20:$AA20),2)=1)*ISNUMBER($C20:$AA20)*($C20:$AA20=0))</f>
        <v>11</v>
      </c>
    </row>
    <row r="7" spans="2:32" x14ac:dyDescent="0.2">
      <c r="B7" s="5" t="s">
        <v>68</v>
      </c>
      <c r="C7" s="22">
        <f>VLOOKUP($B7,H01_M3,C$3,FALSE)</f>
        <v>-2.86794449014082E-2</v>
      </c>
      <c r="D7" s="28">
        <f>VLOOKUP($B7,H01_M3,D$3,FALSE)</f>
        <v>0.86610921011518305</v>
      </c>
      <c r="E7" s="22">
        <f>VLOOKUP($B7,H02_M3,E$3,FALSE)</f>
        <v>0</v>
      </c>
      <c r="F7" s="28">
        <f>VLOOKUP($B7,H02_M3,F$3,FALSE)</f>
        <v>1</v>
      </c>
      <c r="G7" s="22">
        <f>VLOOKUP($B7,H03_M3,G$3,FALSE)</f>
        <v>-0.20326240898206699</v>
      </c>
      <c r="H7" s="28">
        <f>VLOOKUP($B7,H03_M3,H$3,FALSE)</f>
        <v>0.86721169312828195</v>
      </c>
      <c r="I7" s="22">
        <f>VLOOKUP($B7,H04_M3,I$3,FALSE)</f>
        <v>0</v>
      </c>
      <c r="J7" s="28">
        <f>VLOOKUP($B7,H04_M3,J$3,FALSE)</f>
        <v>1</v>
      </c>
      <c r="K7" s="22">
        <f>VLOOKUP($B7,H05_M3,K$3,FALSE)</f>
        <v>0</v>
      </c>
      <c r="L7" s="28">
        <f>VLOOKUP($B7,H05_M3,L$3,FALSE)</f>
        <v>1</v>
      </c>
      <c r="M7" s="22" t="s">
        <v>48</v>
      </c>
      <c r="N7" s="28" t="s">
        <v>48</v>
      </c>
      <c r="O7" s="22">
        <f>VLOOKUP($B7,H07_M3,O$3,FALSE)</f>
        <v>0</v>
      </c>
      <c r="P7" s="28">
        <f>VLOOKUP($B7,H07_M3,P$3,FALSE)</f>
        <v>1</v>
      </c>
      <c r="Q7" s="22">
        <f>VLOOKUP($B7,H08_M3,Q$3,FALSE)</f>
        <v>-18.4633354878479</v>
      </c>
      <c r="R7" s="28">
        <f>VLOOKUP($B7,H08_M3,R$3,FALSE)</f>
        <v>5.6933489509438601E-3</v>
      </c>
      <c r="S7" s="22" t="s">
        <v>48</v>
      </c>
      <c r="T7" s="28" t="s">
        <v>48</v>
      </c>
      <c r="U7" s="22">
        <f>VLOOKUP($B7,H10_M3,U$3,FALSE)</f>
        <v>-0.189393688693827</v>
      </c>
      <c r="V7" s="28">
        <f>VLOOKUP($B7,H10_M3,V$3,FALSE)</f>
        <v>0.43212972667995903</v>
      </c>
      <c r="W7" s="22">
        <f>VLOOKUP($B7,H11_M3,W$3,FALSE)</f>
        <v>0</v>
      </c>
      <c r="X7" s="28">
        <f>VLOOKUP($B7,H11_M3,X$3,FALSE)</f>
        <v>1</v>
      </c>
      <c r="Y7" s="22">
        <f>VLOOKUP($B7,H12_M3,Y$3,FALSE)</f>
        <v>-0.99226643522633895</v>
      </c>
      <c r="Z7" s="28">
        <f>VLOOKUP($B7,H12_M3,Z$3,FALSE)</f>
        <v>0.183849471732174</v>
      </c>
      <c r="AA7" s="22">
        <f>VLOOKUP($B7,H13_M3,AA$3,FALSE)</f>
        <v>-0.52064966908562005</v>
      </c>
      <c r="AB7" s="28">
        <f>VLOOKUP($B7,H13_M3,AB$3,FALSE)</f>
        <v>7.3732911036293994E-2</v>
      </c>
      <c r="AD7" s="2" cm="1">
        <f t="array" ref="AD7">SUMPRODUCT((MOD(COLUMN($C7:$AA7),2)=1)*ISNUMBER($C7:$AA7)*($C7:$AA7&lt;&gt;0)*($D7:$AB7&lt;0.05))+SUMPRODUCT((MOD(COLUMN($C14:$AA14),2)=1)*ISNUMBER($C14:$AA14)*($C14:$AA14&lt;&gt;0)*($D14:$AB14&lt;0.05))++SUMPRODUCT((MOD(COLUMN($C21:$AA21),2)=1)*ISNUMBER($C21:$AA21)*($C21:$AA21&lt;&gt;0)*($D21:$AB21&lt;0.05))</f>
        <v>2</v>
      </c>
      <c r="AE7" s="2" cm="1">
        <f t="array" ref="AE7">SUMPRODUCT((MOD(COLUMN($C7:$AA7),2)=1)*ISNUMBER($C7:$AA7)*($C7:$AA7&lt;&gt;0)*($D7:$AB7&gt;=0.05))+SUMPRODUCT((MOD(COLUMN($C14:$AA14),2)=1)*ISNUMBER($C14:$AA14)*($C14:$AA14&lt;&gt;0)*($D14:$AB14&gt;=0.05))+SUMPRODUCT((MOD(COLUMN($C21:$AA21),2)=1)*ISNUMBER($C21:$AA21)*($C21:$AA21&lt;&gt;0)*($D21:$AB21&gt;=0.05))</f>
        <v>7</v>
      </c>
      <c r="AF7" s="2" cm="1">
        <f t="array" ref="AF7">SUMPRODUCT((MOD(COLUMN($C7:$AA7),2)=1)*ISNUMBER($C7:$AA7)*($C7:$AA7=0))+SUMPRODUCT((MOD(COLUMN($C14:$AA14),2)=1)*ISNUMBER($C14:$AA14)*($C14:$AA14=0))+SUMPRODUCT((MOD(COLUMN($C21:$AA21),2)=1)*ISNUMBER($C21:$AA21)*($C21:$AA21=0))</f>
        <v>9</v>
      </c>
    </row>
    <row r="8" spans="2:32" x14ac:dyDescent="0.2">
      <c r="B8" s="5" t="s">
        <v>70</v>
      </c>
      <c r="C8" s="22">
        <f>VLOOKUP($B8,H01_M3,C$3,FALSE)</f>
        <v>0</v>
      </c>
      <c r="D8" s="28">
        <f>VLOOKUP($B8,H01_M3,D$3,FALSE)</f>
        <v>1</v>
      </c>
      <c r="E8" s="22">
        <f>VLOOKUP($B8,H02_M3,E$3,FALSE)</f>
        <v>-0.55010210716980801</v>
      </c>
      <c r="F8" s="28">
        <f>VLOOKUP($B8,H02_M3,F$3,FALSE)</f>
        <v>1.4825266540792099E-3</v>
      </c>
      <c r="G8" s="22">
        <f>VLOOKUP($B8,H03_M3,G$3,FALSE)</f>
        <v>-3.6819732358074</v>
      </c>
      <c r="H8" s="28">
        <f>VLOOKUP($B8,H03_M3,H$3,FALSE)</f>
        <v>9.5142781518639599E-2</v>
      </c>
      <c r="I8" s="22">
        <f>VLOOKUP($B8,H04_M3,I$3,FALSE)</f>
        <v>-1.0562492699712001</v>
      </c>
      <c r="J8" s="28">
        <f>VLOOKUP($B8,H04_M3,J$3,FALSE)</f>
        <v>3.8603831006622699E-4</v>
      </c>
      <c r="K8" s="22">
        <f>VLOOKUP($B8,H05_M3,K$3,FALSE)</f>
        <v>-0.431807183184031</v>
      </c>
      <c r="L8" s="28">
        <f>VLOOKUP($B8,H05_M3,L$3,FALSE)</f>
        <v>0.31185381462788397</v>
      </c>
      <c r="M8" s="22" t="s">
        <v>48</v>
      </c>
      <c r="N8" s="28" t="s">
        <v>48</v>
      </c>
      <c r="O8" s="22">
        <f>VLOOKUP($B8,H07_M3,O$3,FALSE)</f>
        <v>-0.888000652267524</v>
      </c>
      <c r="P8" s="28">
        <f>VLOOKUP($B8,H07_M3,P$3,FALSE)</f>
        <v>5.5715059728214097E-2</v>
      </c>
      <c r="Q8" s="22">
        <f>VLOOKUP($B8,H08_M3,Q$3,FALSE)</f>
        <v>-1.1406047089028599</v>
      </c>
      <c r="R8" s="28">
        <f>VLOOKUP($B8,H08_M3,R$3,FALSE)</f>
        <v>2.3834161850810802E-6</v>
      </c>
      <c r="S8" s="22" t="s">
        <v>48</v>
      </c>
      <c r="T8" s="28" t="s">
        <v>48</v>
      </c>
      <c r="U8" s="22">
        <f>VLOOKUP($B8,H10_M3,U$3,FALSE)</f>
        <v>0</v>
      </c>
      <c r="V8" s="28">
        <f>VLOOKUP($B8,H10_M3,V$3,FALSE)</f>
        <v>1</v>
      </c>
      <c r="W8" s="22">
        <f>VLOOKUP($B8,H11_M3,W$3,FALSE)</f>
        <v>0</v>
      </c>
      <c r="X8" s="28">
        <f>VLOOKUP($B8,H11_M3,X$3,FALSE)</f>
        <v>1</v>
      </c>
      <c r="Y8" s="22">
        <f>VLOOKUP($B8,H12_M3,Y$3,FALSE)</f>
        <v>-1.81359573705801</v>
      </c>
      <c r="Z8" s="28">
        <f>VLOOKUP($B8,H12_M3,Z$3,FALSE)</f>
        <v>1.46354409551774E-3</v>
      </c>
      <c r="AA8" s="22">
        <f>VLOOKUP($B8,H13_M3,AA$3,FALSE)</f>
        <v>-0.78543023127401301</v>
      </c>
      <c r="AB8" s="28">
        <f>VLOOKUP($B8,H13_M3,AB$3,FALSE)</f>
        <v>2.61575154531845E-4</v>
      </c>
      <c r="AD8" s="2" cm="1">
        <f t="array" ref="AD8">SUMPRODUCT((MOD(COLUMN($C8:$AA8),2)=1)*ISNUMBER($C8:$AA8)*($C8:$AA8&lt;&gt;0)*($D8:$AB8&lt;0.05))+SUMPRODUCT((MOD(COLUMN($C15:$AA15),2)=1)*ISNUMBER($C15:$AA15)*($C15:$AA15&lt;&gt;0)*($D15:$AB15&lt;0.05))++SUMPRODUCT((MOD(COLUMN($C22:$AA22),2)=1)*ISNUMBER($C22:$AA22)*($C22:$AA22&lt;&gt;0)*($D22:$AB22&lt;0.05))</f>
        <v>7</v>
      </c>
      <c r="AE8" s="2" cm="1">
        <f t="array" ref="AE8">SUMPRODUCT((MOD(COLUMN($C8:$AA8),2)=1)*ISNUMBER($C8:$AA8)*($C8:$AA8&lt;&gt;0)*($D8:$AB8&gt;=0.05))+SUMPRODUCT((MOD(COLUMN($C15:$AA15),2)=1)*ISNUMBER($C15:$AA15)*($C15:$AA15&lt;&gt;0)*($D15:$AB15&gt;=0.05))+SUMPRODUCT((MOD(COLUMN($C22:$AA22),2)=1)*ISNUMBER($C22:$AA22)*($C22:$AA22&lt;&gt;0)*($D22:$AB22&gt;=0.05))</f>
        <v>7</v>
      </c>
      <c r="AF8" s="2" cm="1">
        <f t="array" ref="AF8">SUMPRODUCT((MOD(COLUMN($C8:$AA8),2)=1)*ISNUMBER($C8:$AA8)*($C8:$AA8=0))+SUMPRODUCT((MOD(COLUMN($C15:$AA15),2)=1)*ISNUMBER($C15:$AA15)*($C15:$AA15=0))+SUMPRODUCT((MOD(COLUMN($C22:$AA22),2)=1)*ISNUMBER($C22:$AA22)*($C22:$AA22=0))</f>
        <v>4</v>
      </c>
    </row>
    <row r="9" spans="2:32" x14ac:dyDescent="0.2">
      <c r="B9" s="5" t="s">
        <v>28</v>
      </c>
      <c r="C9" s="22">
        <f>VLOOKUP($B9,H01_M3,C$3,FALSE)</f>
        <v>0.35020490656686798</v>
      </c>
      <c r="D9" s="28">
        <f>VLOOKUP($B9,H01_M3,D$3,FALSE)</f>
        <v>0.43382149270233</v>
      </c>
      <c r="E9" s="22">
        <f>VLOOKUP($B9,H02_M3,E$3,FALSE)</f>
        <v>0.22048213510140199</v>
      </c>
      <c r="F9" s="28">
        <f>VLOOKUP($B9,H02_M3,F$3,FALSE)</f>
        <v>0.73303343551738298</v>
      </c>
      <c r="G9" s="22">
        <f>VLOOKUP($B9,H03_M3,G$3,FALSE)</f>
        <v>2.0966206426762901</v>
      </c>
      <c r="H9" s="28">
        <f>VLOOKUP($B9,H03_M3,H$3,FALSE)</f>
        <v>6.1010119702989501E-2</v>
      </c>
      <c r="I9" s="22">
        <f>VLOOKUP($B9,H04_M3,I$3,FALSE)</f>
        <v>1.680734804718</v>
      </c>
      <c r="J9" s="28">
        <f>VLOOKUP($B9,H04_M3,J$3,FALSE)</f>
        <v>1.8458198842979199E-2</v>
      </c>
      <c r="K9" s="22">
        <f>VLOOKUP($B9,H05_M3,K$3,FALSE)</f>
        <v>2.2963612140715499</v>
      </c>
      <c r="L9" s="28">
        <f>VLOOKUP($B9,H05_M3,L$3,FALSE)</f>
        <v>1.5183694962082399E-2</v>
      </c>
      <c r="M9" s="22" t="s">
        <v>48</v>
      </c>
      <c r="N9" s="28" t="s">
        <v>48</v>
      </c>
      <c r="O9" s="22">
        <f>VLOOKUP($B9,H07_M3,O$3,FALSE)</f>
        <v>1.81942749705249</v>
      </c>
      <c r="P9" s="28">
        <f>VLOOKUP($B9,H07_M3,P$3,FALSE)</f>
        <v>3.4948566650417602E-2</v>
      </c>
      <c r="Q9" s="22">
        <f>VLOOKUP($B9,H08_M3,Q$3,FALSE)</f>
        <v>1.38834749532604</v>
      </c>
      <c r="R9" s="28">
        <f>VLOOKUP($B9,H08_M3,R$3,FALSE)</f>
        <v>6.6770490075248101E-2</v>
      </c>
      <c r="S9" s="22" t="s">
        <v>48</v>
      </c>
      <c r="T9" s="28" t="s">
        <v>48</v>
      </c>
      <c r="U9" s="22">
        <f>VLOOKUP($B9,H10_M3,U$3,FALSE)</f>
        <v>2.6326413658819598</v>
      </c>
      <c r="V9" s="28">
        <f>VLOOKUP($B9,H10_M3,V$3,FALSE)</f>
        <v>7.5283062229310305E-2</v>
      </c>
      <c r="W9" s="22">
        <f>VLOOKUP($B9,H11_M3,W$3,FALSE)</f>
        <v>1.17733273525701</v>
      </c>
      <c r="X9" s="28">
        <f>VLOOKUP($B9,H11_M3,X$3,FALSE)</f>
        <v>0.28636496982849002</v>
      </c>
      <c r="Y9" s="22">
        <f>VLOOKUP($B9,H12_M3,Y$3,FALSE)</f>
        <v>0</v>
      </c>
      <c r="Z9" s="28">
        <f>VLOOKUP($B9,H12_M3,Z$3,FALSE)</f>
        <v>1</v>
      </c>
      <c r="AA9" s="22">
        <f>VLOOKUP($B9,H13_M3,AA$3,FALSE)</f>
        <v>0</v>
      </c>
      <c r="AB9" s="28">
        <f>VLOOKUP($B9,H13_M3,AB$3,FALSE)</f>
        <v>1</v>
      </c>
      <c r="AD9" s="2" cm="1">
        <f t="array" ref="AD9">SUMPRODUCT((MOD(COLUMN($C9:$AA9),2)=1)*ISNUMBER($C9:$AA9)*($C9:$AA9&lt;&gt;0)*($D9:$AB9&lt;0.05))+SUMPRODUCT((MOD(COLUMN($C16:$AA16),2)=1)*ISNUMBER($C16:$AA16)*($C16:$AA16&lt;&gt;0)*($D16:$AB16&lt;0.05))++SUMPRODUCT((MOD(COLUMN($C23:$AA23),2)=1)*ISNUMBER($C23:$AA23)*($C23:$AA23&lt;&gt;0)*($D23:$AB23&lt;0.05))</f>
        <v>5</v>
      </c>
      <c r="AE9" s="2" cm="1">
        <f t="array" ref="AE9">SUMPRODUCT((MOD(COLUMN($C9:$AA9),2)=1)*ISNUMBER($C9:$AA9)*($C9:$AA9&lt;&gt;0)*($D9:$AB9&gt;=0.05))+SUMPRODUCT((MOD(COLUMN($C16:$AA16),2)=1)*ISNUMBER($C16:$AA16)*($C16:$AA16&lt;&gt;0)*($D16:$AB16&gt;=0.05))+SUMPRODUCT((MOD(COLUMN($C23:$AA23),2)=1)*ISNUMBER($C23:$AA23)*($C23:$AA23&lt;&gt;0)*($D23:$AB23&gt;=0.05))</f>
        <v>9</v>
      </c>
      <c r="AF9" s="2" cm="1">
        <f t="array" ref="AF9">SUMPRODUCT((MOD(COLUMN($C9:$AA9),2)=1)*ISNUMBER($C9:$AA9)*($C9:$AA9=0))+SUMPRODUCT((MOD(COLUMN($C16:$AA16),2)=1)*ISNUMBER($C16:$AA16)*($C16:$AA16=0))+SUMPRODUCT((MOD(COLUMN($C23:$AA23),2)=1)*ISNUMBER($C23:$AA23)*($C23:$AA23=0))</f>
        <v>4</v>
      </c>
    </row>
    <row r="10" spans="2:32" x14ac:dyDescent="0.2">
      <c r="C10" s="40">
        <v>2</v>
      </c>
      <c r="D10" s="40">
        <v>5</v>
      </c>
      <c r="E10" s="40">
        <v>2</v>
      </c>
      <c r="F10" s="40">
        <v>5</v>
      </c>
      <c r="G10" s="40">
        <v>2</v>
      </c>
      <c r="H10" s="40">
        <v>5</v>
      </c>
      <c r="I10" s="40">
        <v>2</v>
      </c>
      <c r="J10" s="40">
        <v>5</v>
      </c>
      <c r="K10" s="40">
        <v>2</v>
      </c>
      <c r="L10" s="40">
        <v>5</v>
      </c>
      <c r="M10" s="40">
        <v>2</v>
      </c>
      <c r="N10" s="40">
        <v>5</v>
      </c>
      <c r="O10" s="40">
        <v>2</v>
      </c>
      <c r="P10" s="40">
        <v>5</v>
      </c>
      <c r="Q10" s="40">
        <v>2</v>
      </c>
      <c r="R10" s="40">
        <v>5</v>
      </c>
      <c r="S10" s="40">
        <v>2</v>
      </c>
      <c r="T10" s="40">
        <v>5</v>
      </c>
      <c r="U10" s="40">
        <v>2</v>
      </c>
      <c r="V10" s="40">
        <v>5</v>
      </c>
      <c r="W10" s="40">
        <v>2</v>
      </c>
      <c r="X10" s="40">
        <v>5</v>
      </c>
      <c r="Y10" s="40">
        <v>2</v>
      </c>
      <c r="Z10" s="40">
        <v>5</v>
      </c>
      <c r="AA10" s="40">
        <v>2</v>
      </c>
      <c r="AB10" s="40">
        <v>5</v>
      </c>
    </row>
    <row r="11" spans="2:32" x14ac:dyDescent="0.2">
      <c r="B11" s="36" t="s">
        <v>1</v>
      </c>
      <c r="C11" s="22" t="s">
        <v>23</v>
      </c>
      <c r="D11" s="39" t="s">
        <v>26</v>
      </c>
      <c r="E11" s="22" t="s">
        <v>23</v>
      </c>
      <c r="F11" s="39" t="s">
        <v>26</v>
      </c>
      <c r="G11" s="22" t="s">
        <v>23</v>
      </c>
      <c r="H11" s="39" t="s">
        <v>26</v>
      </c>
      <c r="I11" s="22" t="s">
        <v>23</v>
      </c>
      <c r="J11" s="39" t="s">
        <v>26</v>
      </c>
      <c r="K11" s="22" t="s">
        <v>23</v>
      </c>
      <c r="L11" s="39" t="s">
        <v>26</v>
      </c>
      <c r="M11" s="22" t="s">
        <v>23</v>
      </c>
      <c r="N11" s="39" t="s">
        <v>26</v>
      </c>
      <c r="O11" s="22" t="s">
        <v>23</v>
      </c>
      <c r="P11" s="39" t="s">
        <v>26</v>
      </c>
      <c r="Q11" s="22" t="s">
        <v>23</v>
      </c>
      <c r="R11" s="39" t="s">
        <v>26</v>
      </c>
      <c r="S11" s="22" t="s">
        <v>23</v>
      </c>
      <c r="T11" s="39" t="s">
        <v>26</v>
      </c>
      <c r="U11" s="22" t="s">
        <v>23</v>
      </c>
      <c r="V11" s="39" t="s">
        <v>26</v>
      </c>
      <c r="W11" s="22" t="s">
        <v>23</v>
      </c>
      <c r="X11" s="39" t="s">
        <v>26</v>
      </c>
      <c r="Y11" s="22" t="s">
        <v>23</v>
      </c>
      <c r="Z11" s="39" t="s">
        <v>26</v>
      </c>
      <c r="AA11" s="22" t="s">
        <v>23</v>
      </c>
      <c r="AB11" s="39" t="s">
        <v>26</v>
      </c>
    </row>
    <row r="12" spans="2:32" x14ac:dyDescent="0.2">
      <c r="B12" s="5" t="s">
        <v>71</v>
      </c>
      <c r="C12" s="22">
        <f>VLOOKUP($B12,H01_M3,C$3,FALSE)</f>
        <v>0</v>
      </c>
      <c r="D12" s="28">
        <f>VLOOKUP($B12,H01_M3,D$3,FALSE)</f>
        <v>1</v>
      </c>
      <c r="E12" s="22" t="s">
        <v>48</v>
      </c>
      <c r="F12" s="28" t="s">
        <v>48</v>
      </c>
      <c r="G12" s="22">
        <f>VLOOKUP($B12,H03_M3,G$3,FALSE)</f>
        <v>0</v>
      </c>
      <c r="H12" s="28">
        <f>VLOOKUP($B12,H03_M3,H$3,FALSE)</f>
        <v>1</v>
      </c>
      <c r="I12" s="22">
        <f>VLOOKUP($B12,H04_M3,I$3,FALSE)</f>
        <v>0</v>
      </c>
      <c r="J12" s="28">
        <f>VLOOKUP($B12,H04_M3,J$3,FALSE)</f>
        <v>1</v>
      </c>
      <c r="K12" s="22" t="s">
        <v>48</v>
      </c>
      <c r="L12" s="28" t="s">
        <v>48</v>
      </c>
      <c r="M12" s="22" t="s">
        <v>48</v>
      </c>
      <c r="N12" s="28" t="s">
        <v>48</v>
      </c>
      <c r="O12" s="22">
        <f>VLOOKUP($B12,H07_M3,O$3,FALSE)</f>
        <v>0</v>
      </c>
      <c r="P12" s="28">
        <f>VLOOKUP($B12,H07_M3,P$3,FALSE)</f>
        <v>1</v>
      </c>
      <c r="Q12" s="22" t="s">
        <v>48</v>
      </c>
      <c r="R12" s="28" t="s">
        <v>48</v>
      </c>
      <c r="S12" s="22" t="s">
        <v>48</v>
      </c>
      <c r="T12" s="28" t="s">
        <v>48</v>
      </c>
      <c r="U12" s="22">
        <f>VLOOKUP($B12,H10_M3,U$3,FALSE)</f>
        <v>0</v>
      </c>
      <c r="V12" s="28">
        <f>VLOOKUP($B12,H10_M3,V$3,FALSE)</f>
        <v>1</v>
      </c>
      <c r="W12" s="22">
        <f>VLOOKUP($B12,H11_M3,W$3,FALSE)</f>
        <v>0</v>
      </c>
      <c r="X12" s="28">
        <f>VLOOKUP($B12,H11_M3,X$3,FALSE)</f>
        <v>1</v>
      </c>
      <c r="Y12" s="22" t="s">
        <v>48</v>
      </c>
      <c r="Z12" s="28" t="s">
        <v>48</v>
      </c>
      <c r="AA12" s="22" t="s">
        <v>48</v>
      </c>
      <c r="AB12" s="28" t="s">
        <v>48</v>
      </c>
    </row>
    <row r="13" spans="2:32" x14ac:dyDescent="0.2">
      <c r="B13" s="5" t="s">
        <v>73</v>
      </c>
      <c r="C13" s="22">
        <f>VLOOKUP($B13,H01_M3,C$3,FALSE)</f>
        <v>0</v>
      </c>
      <c r="D13" s="28">
        <f>VLOOKUP($B13,H01_M3,D$3,FALSE)</f>
        <v>1</v>
      </c>
      <c r="E13" s="22" t="s">
        <v>48</v>
      </c>
      <c r="F13" s="28" t="s">
        <v>48</v>
      </c>
      <c r="G13" s="22">
        <f>VLOOKUP($B13,H03_M3,G$3,FALSE)</f>
        <v>-0.46445420035671803</v>
      </c>
      <c r="H13" s="28">
        <f>VLOOKUP($B13,H03_M3,H$3,FALSE)</f>
        <v>9.7821731969834194E-2</v>
      </c>
      <c r="I13" s="22">
        <f>VLOOKUP($B13,H04_M3,I$3,FALSE)</f>
        <v>0</v>
      </c>
      <c r="J13" s="28">
        <f>VLOOKUP($B13,H04_M3,J$3,FALSE)</f>
        <v>1</v>
      </c>
      <c r="K13" s="22" t="s">
        <v>48</v>
      </c>
      <c r="L13" s="28" t="s">
        <v>48</v>
      </c>
      <c r="M13" s="22" t="s">
        <v>48</v>
      </c>
      <c r="N13" s="28" t="s">
        <v>48</v>
      </c>
      <c r="O13" s="22">
        <f>VLOOKUP($B13,H07_M3,O$3,FALSE)</f>
        <v>-0.18579172794697801</v>
      </c>
      <c r="P13" s="28">
        <f>VLOOKUP($B13,H07_M3,P$3,FALSE)</f>
        <v>0.67524682458784302</v>
      </c>
      <c r="Q13" s="22" t="s">
        <v>48</v>
      </c>
      <c r="R13" s="28" t="s">
        <v>48</v>
      </c>
      <c r="S13" s="22" t="s">
        <v>48</v>
      </c>
      <c r="T13" s="28" t="s">
        <v>48</v>
      </c>
      <c r="U13" s="22">
        <f>VLOOKUP($B13,H10_M3,U$3,FALSE)</f>
        <v>0</v>
      </c>
      <c r="V13" s="28">
        <f>VLOOKUP($B13,H10_M3,V$3,FALSE)</f>
        <v>1</v>
      </c>
      <c r="W13" s="22">
        <f>VLOOKUP($B13,H11_M3,W$3,FALSE)</f>
        <v>0</v>
      </c>
      <c r="X13" s="28">
        <f>VLOOKUP($B13,H11_M3,X$3,FALSE)</f>
        <v>1</v>
      </c>
      <c r="Y13" s="22" t="s">
        <v>48</v>
      </c>
      <c r="Z13" s="28" t="s">
        <v>48</v>
      </c>
      <c r="AA13" s="22" t="s">
        <v>48</v>
      </c>
      <c r="AB13" s="28" t="s">
        <v>48</v>
      </c>
    </row>
    <row r="14" spans="2:32" x14ac:dyDescent="0.2">
      <c r="B14" s="5" t="s">
        <v>75</v>
      </c>
      <c r="C14" s="22">
        <f>VLOOKUP($B14,H01_M3,C$3,FALSE)</f>
        <v>0</v>
      </c>
      <c r="D14" s="28">
        <f>VLOOKUP($B14,H01_M3,D$3,FALSE)</f>
        <v>1</v>
      </c>
      <c r="E14" s="22" t="s">
        <v>48</v>
      </c>
      <c r="F14" s="28" t="s">
        <v>48</v>
      </c>
      <c r="G14" s="22">
        <f>VLOOKUP($B14,H03_M3,G$3,FALSE)</f>
        <v>-6.4079289879011098E-2</v>
      </c>
      <c r="H14" s="28">
        <f>VLOOKUP($B14,H03_M3,H$3,FALSE)</f>
        <v>0.71526734803712999</v>
      </c>
      <c r="I14" s="22">
        <f>VLOOKUP($B14,H04_M3,I$3,FALSE)</f>
        <v>-0.46815626095785701</v>
      </c>
      <c r="J14" s="28">
        <f>VLOOKUP($B14,H04_M3,J$3,FALSE)</f>
        <v>4.1816567812486799E-2</v>
      </c>
      <c r="K14" s="22" t="s">
        <v>48</v>
      </c>
      <c r="L14" s="28" t="s">
        <v>48</v>
      </c>
      <c r="M14" s="22" t="s">
        <v>48</v>
      </c>
      <c r="N14" s="28" t="s">
        <v>48</v>
      </c>
      <c r="O14" s="22">
        <f>VLOOKUP($B14,H07_M3,O$3,FALSE)</f>
        <v>0</v>
      </c>
      <c r="P14" s="28">
        <f>VLOOKUP($B14,H07_M3,P$3,FALSE)</f>
        <v>1</v>
      </c>
      <c r="Q14" s="22" t="s">
        <v>48</v>
      </c>
      <c r="R14" s="28" t="s">
        <v>48</v>
      </c>
      <c r="S14" s="22" t="s">
        <v>48</v>
      </c>
      <c r="T14" s="28" t="s">
        <v>48</v>
      </c>
      <c r="U14" s="22">
        <f>VLOOKUP($B14,H10_M3,U$3,FALSE)</f>
        <v>0</v>
      </c>
      <c r="V14" s="28">
        <f>VLOOKUP($B14,H10_M3,V$3,FALSE)</f>
        <v>1</v>
      </c>
      <c r="W14" s="22">
        <f>VLOOKUP($B14,H11_M3,W$3,FALSE)</f>
        <v>0</v>
      </c>
      <c r="X14" s="28">
        <f>VLOOKUP($B14,H11_M3,X$3,FALSE)</f>
        <v>1</v>
      </c>
      <c r="Y14" s="22" t="s">
        <v>48</v>
      </c>
      <c r="Z14" s="28" t="s">
        <v>48</v>
      </c>
      <c r="AA14" s="22" t="s">
        <v>48</v>
      </c>
      <c r="AB14" s="28" t="s">
        <v>48</v>
      </c>
    </row>
    <row r="15" spans="2:32" x14ac:dyDescent="0.2">
      <c r="B15" s="5" t="s">
        <v>77</v>
      </c>
      <c r="C15" s="22">
        <f>VLOOKUP($B15,H01_M3,C$3,FALSE)</f>
        <v>0</v>
      </c>
      <c r="D15" s="28">
        <f>VLOOKUP($B15,H01_M3,D$3,FALSE)</f>
        <v>1</v>
      </c>
      <c r="E15" s="22" t="s">
        <v>48</v>
      </c>
      <c r="F15" s="28" t="s">
        <v>48</v>
      </c>
      <c r="G15" s="22">
        <f>VLOOKUP($B15,H03_M3,G$3,FALSE)</f>
        <v>-0.76233821329836304</v>
      </c>
      <c r="H15" s="28">
        <f>VLOOKUP($B15,H03_M3,H$3,FALSE)</f>
        <v>1.061261167834E-8</v>
      </c>
      <c r="I15" s="22">
        <f>VLOOKUP($B15,H04_M3,I$3,FALSE)</f>
        <v>-0.39030501391111699</v>
      </c>
      <c r="J15" s="28">
        <f>VLOOKUP($B15,H04_M3,J$3,FALSE)</f>
        <v>0.136721471759951</v>
      </c>
      <c r="K15" s="22" t="s">
        <v>48</v>
      </c>
      <c r="L15" s="28" t="s">
        <v>48</v>
      </c>
      <c r="M15" s="22" t="s">
        <v>48</v>
      </c>
      <c r="N15" s="28" t="s">
        <v>48</v>
      </c>
      <c r="O15" s="22">
        <f>VLOOKUP($B15,H07_M3,O$3,FALSE)</f>
        <v>-3.16826020662507</v>
      </c>
      <c r="P15" s="28">
        <f>VLOOKUP($B15,H07_M3,P$3,FALSE)</f>
        <v>6.5945652395971101E-4</v>
      </c>
      <c r="Q15" s="22" t="s">
        <v>48</v>
      </c>
      <c r="R15" s="28" t="s">
        <v>48</v>
      </c>
      <c r="S15" s="22" t="s">
        <v>48</v>
      </c>
      <c r="T15" s="28" t="s">
        <v>48</v>
      </c>
      <c r="U15" s="22">
        <f>VLOOKUP($B15,H10_M3,U$3,FALSE)</f>
        <v>-0.297667279817104</v>
      </c>
      <c r="V15" s="28">
        <f>VLOOKUP($B15,H10_M3,V$3,FALSE)</f>
        <v>0.13142505091361001</v>
      </c>
      <c r="W15" s="22">
        <f>VLOOKUP($B15,H11_M3,W$3,FALSE)</f>
        <v>-0.174216662165223</v>
      </c>
      <c r="X15" s="28">
        <f>VLOOKUP($B15,H11_M3,X$3,FALSE)</f>
        <v>0.49632267214023401</v>
      </c>
      <c r="Y15" s="22" t="s">
        <v>48</v>
      </c>
      <c r="Z15" s="28" t="s">
        <v>48</v>
      </c>
      <c r="AA15" s="22" t="s">
        <v>48</v>
      </c>
      <c r="AB15" s="28" t="s">
        <v>48</v>
      </c>
    </row>
    <row r="16" spans="2:32" x14ac:dyDescent="0.2">
      <c r="B16" s="5" t="s">
        <v>31</v>
      </c>
      <c r="C16" s="22">
        <f>VLOOKUP($B16,H01_M3,C$3,FALSE)</f>
        <v>0.40133824304580501</v>
      </c>
      <c r="D16" s="28">
        <f>VLOOKUP($B16,H01_M3,D$3,FALSE)</f>
        <v>0.421970412068635</v>
      </c>
      <c r="E16" s="22" t="s">
        <v>48</v>
      </c>
      <c r="F16" s="28" t="s">
        <v>48</v>
      </c>
      <c r="G16" s="22">
        <f>VLOOKUP($B16,H03_M3,G$3,FALSE)</f>
        <v>0.39183430708668299</v>
      </c>
      <c r="H16" s="28">
        <f>VLOOKUP($B16,H03_M3,H$3,FALSE)</f>
        <v>0.60679065321988401</v>
      </c>
      <c r="I16" s="22">
        <f>VLOOKUP($B16,H04_M3,I$3,FALSE)</f>
        <v>1.10440516558085</v>
      </c>
      <c r="J16" s="28">
        <f>VLOOKUP($B16,H04_M3,J$3,FALSE)</f>
        <v>0.193691392785769</v>
      </c>
      <c r="K16" s="22" t="s">
        <v>48</v>
      </c>
      <c r="L16" s="28" t="s">
        <v>48</v>
      </c>
      <c r="M16" s="22" t="s">
        <v>48</v>
      </c>
      <c r="N16" s="28" t="s">
        <v>48</v>
      </c>
      <c r="O16" s="22">
        <f>VLOOKUP($B16,H07_M3,O$3,FALSE)</f>
        <v>2.68652840982966</v>
      </c>
      <c r="P16" s="28">
        <f>VLOOKUP($B16,H07_M3,P$3,FALSE)</f>
        <v>6.2861224731776098E-3</v>
      </c>
      <c r="Q16" s="22" t="s">
        <v>48</v>
      </c>
      <c r="R16" s="28" t="s">
        <v>48</v>
      </c>
      <c r="S16" s="22" t="s">
        <v>48</v>
      </c>
      <c r="T16" s="28" t="s">
        <v>48</v>
      </c>
      <c r="U16" s="22">
        <f>VLOOKUP($B16,H10_M3,U$3,FALSE)</f>
        <v>0</v>
      </c>
      <c r="V16" s="28">
        <f>VLOOKUP($B16,H10_M3,V$3,FALSE)</f>
        <v>1</v>
      </c>
      <c r="W16" s="22">
        <f>VLOOKUP($B16,H11_M3,W$3,FALSE)</f>
        <v>2.7383041921019098</v>
      </c>
      <c r="X16" s="28">
        <f>VLOOKUP($B16,H11_M3,X$3,FALSE)</f>
        <v>1.4669533783334E-2</v>
      </c>
      <c r="Y16" s="22" t="s">
        <v>48</v>
      </c>
      <c r="Z16" s="28" t="s">
        <v>48</v>
      </c>
      <c r="AA16" s="22" t="s">
        <v>48</v>
      </c>
      <c r="AB16" s="28" t="s">
        <v>48</v>
      </c>
    </row>
    <row r="17" spans="2:32" x14ac:dyDescent="0.2">
      <c r="C17" s="40">
        <v>2</v>
      </c>
      <c r="D17" s="40">
        <v>5</v>
      </c>
      <c r="E17" s="40">
        <v>2</v>
      </c>
      <c r="F17" s="40">
        <v>5</v>
      </c>
      <c r="G17" s="40">
        <v>2</v>
      </c>
      <c r="H17" s="40">
        <v>5</v>
      </c>
      <c r="I17" s="40">
        <v>2</v>
      </c>
      <c r="J17" s="40">
        <v>5</v>
      </c>
      <c r="K17" s="40">
        <v>2</v>
      </c>
      <c r="L17" s="40">
        <v>5</v>
      </c>
      <c r="M17" s="40">
        <v>2</v>
      </c>
      <c r="N17" s="40">
        <v>5</v>
      </c>
      <c r="O17" s="40">
        <v>2</v>
      </c>
      <c r="P17" s="40">
        <v>5</v>
      </c>
      <c r="Q17" s="40">
        <v>2</v>
      </c>
      <c r="R17" s="40">
        <v>5</v>
      </c>
      <c r="S17" s="40">
        <v>2</v>
      </c>
      <c r="T17" s="40">
        <v>5</v>
      </c>
      <c r="U17" s="40">
        <v>2</v>
      </c>
      <c r="V17" s="40">
        <v>5</v>
      </c>
      <c r="W17" s="40">
        <v>2</v>
      </c>
      <c r="X17" s="40">
        <v>5</v>
      </c>
      <c r="Y17" s="40">
        <v>2</v>
      </c>
      <c r="Z17" s="40">
        <v>5</v>
      </c>
      <c r="AA17" s="40">
        <v>2</v>
      </c>
      <c r="AB17" s="40">
        <v>5</v>
      </c>
    </row>
    <row r="18" spans="2:32" x14ac:dyDescent="0.2">
      <c r="B18" s="36" t="s">
        <v>19</v>
      </c>
      <c r="C18" s="22" t="s">
        <v>23</v>
      </c>
      <c r="D18" s="39" t="s">
        <v>26</v>
      </c>
      <c r="E18" s="22" t="s">
        <v>23</v>
      </c>
      <c r="F18" s="39" t="s">
        <v>26</v>
      </c>
      <c r="G18" s="22" t="s">
        <v>23</v>
      </c>
      <c r="H18" s="39" t="s">
        <v>26</v>
      </c>
      <c r="I18" s="22" t="s">
        <v>23</v>
      </c>
      <c r="J18" s="39" t="s">
        <v>26</v>
      </c>
      <c r="K18" s="22" t="s">
        <v>23</v>
      </c>
      <c r="L18" s="39" t="s">
        <v>26</v>
      </c>
      <c r="M18" s="22" t="s">
        <v>23</v>
      </c>
      <c r="N18" s="39" t="s">
        <v>26</v>
      </c>
      <c r="O18" s="22" t="s">
        <v>23</v>
      </c>
      <c r="P18" s="39" t="s">
        <v>26</v>
      </c>
      <c r="Q18" s="22" t="s">
        <v>23</v>
      </c>
      <c r="R18" s="39" t="s">
        <v>26</v>
      </c>
      <c r="S18" s="22" t="s">
        <v>23</v>
      </c>
      <c r="T18" s="39" t="s">
        <v>26</v>
      </c>
      <c r="U18" s="22" t="s">
        <v>23</v>
      </c>
      <c r="V18" s="39" t="s">
        <v>26</v>
      </c>
      <c r="W18" s="22" t="s">
        <v>23</v>
      </c>
      <c r="X18" s="39" t="s">
        <v>26</v>
      </c>
      <c r="Y18" s="22" t="s">
        <v>23</v>
      </c>
      <c r="Z18" s="39" t="s">
        <v>26</v>
      </c>
      <c r="AA18" s="22" t="s">
        <v>23</v>
      </c>
      <c r="AB18" s="39" t="s">
        <v>26</v>
      </c>
    </row>
    <row r="19" spans="2:32" x14ac:dyDescent="0.2">
      <c r="B19" s="5" t="s">
        <v>87</v>
      </c>
      <c r="C19" s="22" t="s">
        <v>48</v>
      </c>
      <c r="D19" s="28" t="s">
        <v>48</v>
      </c>
      <c r="E19" s="22" t="s">
        <v>48</v>
      </c>
      <c r="F19" s="28" t="s">
        <v>48</v>
      </c>
      <c r="G19" s="22" t="s">
        <v>48</v>
      </c>
      <c r="H19" s="28" t="s">
        <v>48</v>
      </c>
      <c r="I19" s="22" t="s">
        <v>48</v>
      </c>
      <c r="J19" s="28" t="s">
        <v>48</v>
      </c>
      <c r="K19" s="22" t="s">
        <v>48</v>
      </c>
      <c r="L19" s="28" t="s">
        <v>48</v>
      </c>
      <c r="M19" s="22" t="s">
        <v>48</v>
      </c>
      <c r="N19" s="28" t="s">
        <v>48</v>
      </c>
      <c r="O19" s="22" t="s">
        <v>48</v>
      </c>
      <c r="P19" s="28" t="s">
        <v>48</v>
      </c>
      <c r="Q19" s="22" t="s">
        <v>48</v>
      </c>
      <c r="R19" s="28" t="s">
        <v>48</v>
      </c>
      <c r="S19" s="22" t="s">
        <v>48</v>
      </c>
      <c r="T19" s="28" t="s">
        <v>48</v>
      </c>
      <c r="U19" s="22" t="s">
        <v>48</v>
      </c>
      <c r="V19" s="28" t="s">
        <v>48</v>
      </c>
      <c r="W19" s="22">
        <f>VLOOKUP($B19,H11_M3,W$3,FALSE)</f>
        <v>0</v>
      </c>
      <c r="X19" s="28">
        <f>VLOOKUP($B19,H11_M3,X$3,FALSE)</f>
        <v>1</v>
      </c>
      <c r="Y19" s="22" t="s">
        <v>48</v>
      </c>
      <c r="Z19" s="28" t="s">
        <v>48</v>
      </c>
      <c r="AA19" s="22" t="s">
        <v>48</v>
      </c>
      <c r="AB19" s="28" t="s">
        <v>48</v>
      </c>
    </row>
    <row r="20" spans="2:32" x14ac:dyDescent="0.2">
      <c r="B20" s="5" t="s">
        <v>88</v>
      </c>
      <c r="C20" s="22" t="s">
        <v>48</v>
      </c>
      <c r="D20" s="28" t="s">
        <v>48</v>
      </c>
      <c r="E20" s="22" t="s">
        <v>48</v>
      </c>
      <c r="F20" s="28" t="s">
        <v>48</v>
      </c>
      <c r="G20" s="22" t="s">
        <v>48</v>
      </c>
      <c r="H20" s="28" t="s">
        <v>48</v>
      </c>
      <c r="I20" s="22" t="s">
        <v>48</v>
      </c>
      <c r="J20" s="28" t="s">
        <v>48</v>
      </c>
      <c r="K20" s="22" t="s">
        <v>48</v>
      </c>
      <c r="L20" s="28" t="s">
        <v>48</v>
      </c>
      <c r="M20" s="22" t="s">
        <v>48</v>
      </c>
      <c r="N20" s="28" t="s">
        <v>48</v>
      </c>
      <c r="O20" s="22" t="s">
        <v>48</v>
      </c>
      <c r="P20" s="28" t="s">
        <v>48</v>
      </c>
      <c r="Q20" s="22" t="s">
        <v>48</v>
      </c>
      <c r="R20" s="28" t="s">
        <v>48</v>
      </c>
      <c r="S20" s="22" t="s">
        <v>48</v>
      </c>
      <c r="T20" s="28" t="s">
        <v>48</v>
      </c>
      <c r="U20" s="22" t="s">
        <v>48</v>
      </c>
      <c r="V20" s="28" t="s">
        <v>48</v>
      </c>
      <c r="W20" s="22">
        <f>VLOOKUP($B20,H11_M3,W$3,FALSE)</f>
        <v>0</v>
      </c>
      <c r="X20" s="28">
        <f>VLOOKUP($B20,H11_M3,X$3,FALSE)</f>
        <v>1</v>
      </c>
      <c r="Y20" s="22" t="s">
        <v>48</v>
      </c>
      <c r="Z20" s="28" t="s">
        <v>48</v>
      </c>
      <c r="AA20" s="22" t="s">
        <v>48</v>
      </c>
      <c r="AB20" s="28" t="s">
        <v>48</v>
      </c>
    </row>
    <row r="21" spans="2:32" x14ac:dyDescent="0.2">
      <c r="B21" s="5" t="s">
        <v>89</v>
      </c>
      <c r="C21" s="22" t="s">
        <v>48</v>
      </c>
      <c r="D21" s="28" t="s">
        <v>48</v>
      </c>
      <c r="E21" s="22" t="s">
        <v>48</v>
      </c>
      <c r="F21" s="28" t="s">
        <v>48</v>
      </c>
      <c r="G21" s="22" t="s">
        <v>48</v>
      </c>
      <c r="H21" s="28" t="s">
        <v>48</v>
      </c>
      <c r="I21" s="22" t="s">
        <v>48</v>
      </c>
      <c r="J21" s="28" t="s">
        <v>48</v>
      </c>
      <c r="K21" s="22" t="s">
        <v>48</v>
      </c>
      <c r="L21" s="28" t="s">
        <v>48</v>
      </c>
      <c r="M21" s="22" t="s">
        <v>48</v>
      </c>
      <c r="N21" s="28" t="s">
        <v>48</v>
      </c>
      <c r="O21" s="22" t="s">
        <v>48</v>
      </c>
      <c r="P21" s="28" t="s">
        <v>48</v>
      </c>
      <c r="Q21" s="22" t="s">
        <v>48</v>
      </c>
      <c r="R21" s="28" t="s">
        <v>48</v>
      </c>
      <c r="S21" s="22" t="s">
        <v>48</v>
      </c>
      <c r="T21" s="28" t="s">
        <v>48</v>
      </c>
      <c r="U21" s="22" t="s">
        <v>48</v>
      </c>
      <c r="V21" s="28" t="s">
        <v>48</v>
      </c>
      <c r="W21" s="22">
        <f>VLOOKUP($B21,H11_M3,W$3,FALSE)</f>
        <v>-0.15023240158308701</v>
      </c>
      <c r="X21" s="28">
        <f>VLOOKUP($B21,H11_M3,X$3,FALSE)</f>
        <v>0.76835254750385396</v>
      </c>
      <c r="Y21" s="22" t="s">
        <v>48</v>
      </c>
      <c r="Z21" s="28" t="s">
        <v>48</v>
      </c>
      <c r="AA21" s="22" t="s">
        <v>48</v>
      </c>
      <c r="AB21" s="28" t="s">
        <v>48</v>
      </c>
    </row>
    <row r="22" spans="2:32" x14ac:dyDescent="0.2">
      <c r="B22" s="5" t="s">
        <v>90</v>
      </c>
      <c r="C22" s="22" t="s">
        <v>48</v>
      </c>
      <c r="D22" s="28" t="s">
        <v>48</v>
      </c>
      <c r="E22" s="22" t="s">
        <v>48</v>
      </c>
      <c r="F22" s="28" t="s">
        <v>48</v>
      </c>
      <c r="G22" s="22" t="s">
        <v>48</v>
      </c>
      <c r="H22" s="28" t="s">
        <v>48</v>
      </c>
      <c r="I22" s="22" t="s">
        <v>48</v>
      </c>
      <c r="J22" s="28" t="s">
        <v>48</v>
      </c>
      <c r="K22" s="22" t="s">
        <v>48</v>
      </c>
      <c r="L22" s="28" t="s">
        <v>48</v>
      </c>
      <c r="M22" s="22" t="s">
        <v>48</v>
      </c>
      <c r="N22" s="28" t="s">
        <v>48</v>
      </c>
      <c r="O22" s="22" t="s">
        <v>48</v>
      </c>
      <c r="P22" s="28" t="s">
        <v>48</v>
      </c>
      <c r="Q22" s="22" t="s">
        <v>48</v>
      </c>
      <c r="R22" s="28" t="s">
        <v>48</v>
      </c>
      <c r="S22" s="22" t="s">
        <v>48</v>
      </c>
      <c r="T22" s="28" t="s">
        <v>48</v>
      </c>
      <c r="U22" s="22" t="s">
        <v>48</v>
      </c>
      <c r="V22" s="28" t="s">
        <v>48</v>
      </c>
      <c r="W22" s="22">
        <f>VLOOKUP($B22,H11_M3,W$3,FALSE)</f>
        <v>-0.205822170440566</v>
      </c>
      <c r="X22" s="28">
        <f>VLOOKUP($B22,H11_M3,X$3,FALSE)</f>
        <v>0.247430977384925</v>
      </c>
      <c r="Y22" s="22" t="s">
        <v>48</v>
      </c>
      <c r="Z22" s="28" t="s">
        <v>48</v>
      </c>
      <c r="AA22" s="22" t="s">
        <v>48</v>
      </c>
      <c r="AB22" s="28" t="s">
        <v>48</v>
      </c>
    </row>
    <row r="23" spans="2:32" x14ac:dyDescent="0.2">
      <c r="B23" s="5" t="s">
        <v>49</v>
      </c>
      <c r="C23" s="22" t="s">
        <v>48</v>
      </c>
      <c r="D23" s="28" t="s">
        <v>48</v>
      </c>
      <c r="E23" s="22" t="s">
        <v>48</v>
      </c>
      <c r="F23" s="28" t="s">
        <v>48</v>
      </c>
      <c r="G23" s="22" t="s">
        <v>48</v>
      </c>
      <c r="H23" s="28" t="s">
        <v>48</v>
      </c>
      <c r="I23" s="22" t="s">
        <v>48</v>
      </c>
      <c r="J23" s="28" t="s">
        <v>48</v>
      </c>
      <c r="K23" s="22" t="s">
        <v>48</v>
      </c>
      <c r="L23" s="28" t="s">
        <v>48</v>
      </c>
      <c r="M23" s="22" t="s">
        <v>48</v>
      </c>
      <c r="N23" s="28" t="s">
        <v>48</v>
      </c>
      <c r="O23" s="22" t="s">
        <v>48</v>
      </c>
      <c r="P23" s="28" t="s">
        <v>48</v>
      </c>
      <c r="Q23" s="22" t="s">
        <v>48</v>
      </c>
      <c r="R23" s="28" t="s">
        <v>48</v>
      </c>
      <c r="S23" s="22" t="s">
        <v>48</v>
      </c>
      <c r="T23" s="28" t="s">
        <v>48</v>
      </c>
      <c r="U23" s="22" t="s">
        <v>48</v>
      </c>
      <c r="V23" s="28" t="s">
        <v>48</v>
      </c>
      <c r="W23" s="22">
        <f>VLOOKUP($B23,H11_M3,W$3,FALSE)</f>
        <v>0</v>
      </c>
      <c r="X23" s="28">
        <f>VLOOKUP($B23,H11_M3,X$3,FALSE)</f>
        <v>1</v>
      </c>
      <c r="Y23" s="22" t="s">
        <v>48</v>
      </c>
      <c r="Z23" s="28" t="s">
        <v>48</v>
      </c>
      <c r="AA23" s="22" t="s">
        <v>48</v>
      </c>
      <c r="AB23" s="28" t="s">
        <v>48</v>
      </c>
    </row>
    <row r="24" spans="2:32" x14ac:dyDescent="0.2">
      <c r="C24" s="40">
        <v>2</v>
      </c>
      <c r="D24" s="40">
        <v>5</v>
      </c>
      <c r="E24" s="40">
        <v>2</v>
      </c>
      <c r="F24" s="40">
        <v>5</v>
      </c>
      <c r="G24" s="40">
        <v>2</v>
      </c>
      <c r="H24" s="40">
        <v>5</v>
      </c>
      <c r="I24" s="40">
        <v>2</v>
      </c>
      <c r="J24" s="40">
        <v>5</v>
      </c>
      <c r="K24" s="40">
        <v>2</v>
      </c>
      <c r="L24" s="40">
        <v>5</v>
      </c>
      <c r="M24" s="40">
        <v>2</v>
      </c>
      <c r="N24" s="40">
        <v>5</v>
      </c>
      <c r="O24" s="40">
        <v>2</v>
      </c>
      <c r="P24" s="40">
        <v>5</v>
      </c>
      <c r="Q24" s="40">
        <v>2</v>
      </c>
      <c r="R24" s="40">
        <v>5</v>
      </c>
      <c r="S24" s="40">
        <v>2</v>
      </c>
      <c r="T24" s="40">
        <v>5</v>
      </c>
      <c r="U24" s="40">
        <v>2</v>
      </c>
      <c r="V24" s="40">
        <v>5</v>
      </c>
      <c r="W24" s="40">
        <v>2</v>
      </c>
      <c r="X24" s="40">
        <v>5</v>
      </c>
      <c r="Y24" s="40">
        <v>2</v>
      </c>
      <c r="Z24" s="40">
        <v>5</v>
      </c>
      <c r="AA24" s="40">
        <v>2</v>
      </c>
      <c r="AB24" s="40">
        <v>5</v>
      </c>
    </row>
    <row r="25" spans="2:32" x14ac:dyDescent="0.2">
      <c r="B25" s="36" t="s">
        <v>2</v>
      </c>
      <c r="C25" s="22" t="s">
        <v>23</v>
      </c>
      <c r="D25" s="39" t="s">
        <v>26</v>
      </c>
      <c r="E25" s="22" t="s">
        <v>23</v>
      </c>
      <c r="F25" s="39" t="s">
        <v>26</v>
      </c>
      <c r="G25" s="22" t="s">
        <v>23</v>
      </c>
      <c r="H25" s="39" t="s">
        <v>26</v>
      </c>
      <c r="I25" s="22" t="s">
        <v>23</v>
      </c>
      <c r="J25" s="39" t="s">
        <v>26</v>
      </c>
      <c r="K25" s="22" t="s">
        <v>23</v>
      </c>
      <c r="L25" s="39" t="s">
        <v>26</v>
      </c>
      <c r="M25" s="22" t="s">
        <v>23</v>
      </c>
      <c r="N25" s="39" t="s">
        <v>26</v>
      </c>
      <c r="O25" s="22" t="s">
        <v>23</v>
      </c>
      <c r="P25" s="39" t="s">
        <v>26</v>
      </c>
      <c r="Q25" s="22" t="s">
        <v>23</v>
      </c>
      <c r="R25" s="39" t="s">
        <v>26</v>
      </c>
      <c r="S25" s="22" t="s">
        <v>23</v>
      </c>
      <c r="T25" s="39" t="s">
        <v>26</v>
      </c>
      <c r="U25" s="22" t="s">
        <v>23</v>
      </c>
      <c r="V25" s="39" t="s">
        <v>26</v>
      </c>
      <c r="W25" s="22" t="s">
        <v>23</v>
      </c>
      <c r="X25" s="39" t="s">
        <v>26</v>
      </c>
      <c r="Y25" s="22" t="s">
        <v>23</v>
      </c>
      <c r="Z25" s="39" t="s">
        <v>26</v>
      </c>
      <c r="AA25" s="22" t="s">
        <v>23</v>
      </c>
      <c r="AB25" s="39" t="s">
        <v>26</v>
      </c>
      <c r="AD25" s="11" t="s">
        <v>103</v>
      </c>
      <c r="AE25" s="11" t="s">
        <v>104</v>
      </c>
      <c r="AF25" s="11" t="s">
        <v>105</v>
      </c>
    </row>
    <row r="26" spans="2:32" x14ac:dyDescent="0.2">
      <c r="B26" s="5" t="s">
        <v>72</v>
      </c>
      <c r="C26" s="22">
        <f>VLOOKUP($B26,H01_M3,C$3,FALSE)</f>
        <v>-0.34569833058197003</v>
      </c>
      <c r="D26" s="28">
        <f>VLOOKUP($B26,H01_M3,D$3,FALSE)</f>
        <v>6.0705775129364203E-2</v>
      </c>
      <c r="E26" s="22">
        <f>VLOOKUP($B26,H02_M3,E$3,FALSE)</f>
        <v>0</v>
      </c>
      <c r="F26" s="28">
        <f>VLOOKUP($B26,H02_M3,F$3,FALSE)</f>
        <v>1</v>
      </c>
      <c r="G26" s="22">
        <f>VLOOKUP($B26,H03_M3,G$3,FALSE)</f>
        <v>0</v>
      </c>
      <c r="H26" s="28">
        <f>VLOOKUP($B26,H03_M3,H$3,FALSE)</f>
        <v>1</v>
      </c>
      <c r="I26" s="22">
        <f>VLOOKUP($B26,H04_M3,I$3,FALSE)</f>
        <v>-0.30607386294067701</v>
      </c>
      <c r="J26" s="28">
        <f>VLOOKUP($B26,H04_M3,J$3,FALSE)</f>
        <v>0.546933207737757</v>
      </c>
      <c r="K26" s="22">
        <f>VLOOKUP($B26,H05_M3,K$3,FALSE)</f>
        <v>0</v>
      </c>
      <c r="L26" s="28">
        <f>VLOOKUP($B26,H05_M3,L$3,FALSE)</f>
        <v>1</v>
      </c>
      <c r="M26" s="22">
        <f>VLOOKUP($B26,H06_M3,M$3,FALSE)</f>
        <v>0</v>
      </c>
      <c r="N26" s="28">
        <f>VLOOKUP($B26,H06_M3,N$3,FALSE)</f>
        <v>1</v>
      </c>
      <c r="O26" s="22">
        <f>VLOOKUP($B26,H07_M3,O$3,FALSE)</f>
        <v>-2.6795116738958402</v>
      </c>
      <c r="P26" s="28">
        <f>VLOOKUP($B26,H07_M3,P$3,FALSE)</f>
        <v>2.3269479825651601E-3</v>
      </c>
      <c r="Q26" s="22" t="s">
        <v>48</v>
      </c>
      <c r="R26" s="28" t="s">
        <v>48</v>
      </c>
      <c r="S26" s="22">
        <f>VLOOKUP($B26,H09_M3,S$3,FALSE)</f>
        <v>0</v>
      </c>
      <c r="T26" s="28">
        <f>VLOOKUP($B26,H09_M3,T$3,FALSE)</f>
        <v>1</v>
      </c>
      <c r="U26" s="22">
        <f>VLOOKUP($B26,H10_M3,U$3,FALSE)</f>
        <v>-4.2850588692929099</v>
      </c>
      <c r="V26" s="28">
        <f>VLOOKUP($B26,H10_M3,V$3,FALSE)</f>
        <v>8.2830928308014806E-2</v>
      </c>
      <c r="W26" s="22">
        <f>VLOOKUP($B26,H11_M3,W$3,FALSE)</f>
        <v>0</v>
      </c>
      <c r="X26" s="28">
        <f>VLOOKUP($B26,H11_M3,X$3,FALSE)</f>
        <v>1</v>
      </c>
      <c r="Y26" s="22">
        <f>VLOOKUP($B26,H12_M3,Y$3,FALSE)</f>
        <v>-0.79747185656655395</v>
      </c>
      <c r="Z26" s="28">
        <f>VLOOKUP($B26,H12_M3,Z$3,FALSE)</f>
        <v>0.38970001388826397</v>
      </c>
      <c r="AA26" s="22">
        <f>VLOOKUP($B26,H13_M3,AA$3,FALSE)</f>
        <v>0</v>
      </c>
      <c r="AB26" s="28">
        <f>VLOOKUP($B26,H13_M3,AB$3,FALSE)</f>
        <v>1</v>
      </c>
      <c r="AD26" s="2" cm="1">
        <f t="array" ref="AD26">SUMPRODUCT((MOD(COLUMN($C26:$AA26),2)=1)*ISNUMBER($C26:$AA26)*($C26:$AA26&lt;&gt;0)*($D26:$AB26&lt;0.05))</f>
        <v>1</v>
      </c>
      <c r="AE26" s="2" cm="1">
        <f t="array" ref="AE26">SUMPRODUCT((MOD(COLUMN($C26:$AA26),2)=1)*ISNUMBER($C26:$AA26)*($C26:$AA26&lt;&gt;0)*($D26:$AB26&gt;=0.05))</f>
        <v>4</v>
      </c>
      <c r="AF26" s="2" cm="1">
        <f t="array" ref="AF26">SUMPRODUCT((MOD(COLUMN($C26:$AA26),2)=1)*ISNUMBER($C26:$AA26)*($C26:$AA26=0))</f>
        <v>7</v>
      </c>
    </row>
    <row r="27" spans="2:32" x14ac:dyDescent="0.2">
      <c r="B27" s="5" t="s">
        <v>74</v>
      </c>
      <c r="C27" s="22">
        <f>VLOOKUP($B27,H01_M3,C$3,FALSE)</f>
        <v>-0.85857077556598504</v>
      </c>
      <c r="D27" s="28">
        <f>VLOOKUP($B27,H01_M3,D$3,FALSE)</f>
        <v>9.4303019171348899E-8</v>
      </c>
      <c r="E27" s="22">
        <f>VLOOKUP($B27,H02_M3,E$3,FALSE)</f>
        <v>-0.21021746903090799</v>
      </c>
      <c r="F27" s="28">
        <f>VLOOKUP($B27,H02_M3,F$3,FALSE)</f>
        <v>0.429850516273584</v>
      </c>
      <c r="G27" s="22">
        <f>VLOOKUP($B27,H03_M3,G$3,FALSE)</f>
        <v>-0.758337750691361</v>
      </c>
      <c r="H27" s="28">
        <f>VLOOKUP($B27,H03_M3,H$3,FALSE)</f>
        <v>3.36878607454238E-7</v>
      </c>
      <c r="I27" s="22">
        <f>VLOOKUP($B27,H04_M3,I$3,FALSE)</f>
        <v>-0.81557962262830996</v>
      </c>
      <c r="J27" s="28">
        <f>VLOOKUP($B27,H04_M3,J$3,FALSE)</f>
        <v>3.1107802119020301E-2</v>
      </c>
      <c r="K27" s="22">
        <f>VLOOKUP($B27,H05_M3,K$3,FALSE)</f>
        <v>0</v>
      </c>
      <c r="L27" s="28">
        <f>VLOOKUP($B27,H05_M3,L$3,FALSE)</f>
        <v>1</v>
      </c>
      <c r="M27" s="22">
        <f>VLOOKUP($B27,H06_M3,M$3,FALSE)</f>
        <v>-0.59153616204836501</v>
      </c>
      <c r="N27" s="28">
        <f>VLOOKUP($B27,H06_M3,N$3,FALSE)</f>
        <v>2.5952680351719298E-2</v>
      </c>
      <c r="O27" s="22">
        <f>VLOOKUP($B27,H07_M3,O$3,FALSE)</f>
        <v>-2.73855614652624</v>
      </c>
      <c r="P27" s="28">
        <f>VLOOKUP($B27,H07_M3,P$3,FALSE)</f>
        <v>1.7962760730871801E-4</v>
      </c>
      <c r="Q27" s="22" t="s">
        <v>48</v>
      </c>
      <c r="R27" s="28" t="s">
        <v>48</v>
      </c>
      <c r="S27" s="22">
        <f>VLOOKUP($B27,H09_M3,S$3,FALSE)</f>
        <v>-0.43307939958212799</v>
      </c>
      <c r="T27" s="28">
        <f>VLOOKUP($B27,H09_M3,T$3,FALSE)</f>
        <v>4.37485693065413E-2</v>
      </c>
      <c r="U27" s="22">
        <f>VLOOKUP($B27,H10_M3,U$3,FALSE)</f>
        <v>-2.2115514627783099</v>
      </c>
      <c r="V27" s="28">
        <f>VLOOKUP($B27,H10_M3,V$3,FALSE)</f>
        <v>0.12828316146775701</v>
      </c>
      <c r="W27" s="22">
        <f>VLOOKUP($B27,H11_M3,W$3,FALSE)</f>
        <v>-0.208401565668482</v>
      </c>
      <c r="X27" s="28">
        <f>VLOOKUP($B27,H11_M3,X$3,FALSE)</f>
        <v>0.60644763889958697</v>
      </c>
      <c r="Y27" s="22">
        <f>VLOOKUP($B27,H12_M3,Y$3,FALSE)</f>
        <v>-0.219562989786414</v>
      </c>
      <c r="Z27" s="28">
        <f>VLOOKUP($B27,H12_M3,Z$3,FALSE)</f>
        <v>0.90706983820752596</v>
      </c>
      <c r="AA27" s="22">
        <f>VLOOKUP($B27,H13_M3,AA$3,FALSE)</f>
        <v>0</v>
      </c>
      <c r="AB27" s="28">
        <f>VLOOKUP($B27,H13_M3,AB$3,FALSE)</f>
        <v>1</v>
      </c>
      <c r="AD27" s="2" cm="1">
        <f t="array" ref="AD27">SUMPRODUCT((MOD(COLUMN($C27:$AA27),2)=1)*ISNUMBER($C27:$AA27)*($C27:$AA27&lt;&gt;0)*($D27:$AB27&lt;0.05))</f>
        <v>6</v>
      </c>
      <c r="AE27" s="2" cm="1">
        <f t="array" ref="AE27">SUMPRODUCT((MOD(COLUMN($C27:$AA27),2)=1)*ISNUMBER($C27:$AA27)*($C27:$AA27&lt;&gt;0)*($D27:$AB27&gt;=0.05))</f>
        <v>4</v>
      </c>
      <c r="AF27" s="2" cm="1">
        <f t="array" ref="AF27">SUMPRODUCT((MOD(COLUMN($C27:$AA27),2)=1)*ISNUMBER($C27:$AA27)*($C27:$AA27=0))</f>
        <v>2</v>
      </c>
    </row>
    <row r="28" spans="2:32" x14ac:dyDescent="0.2">
      <c r="B28" s="5" t="s">
        <v>76</v>
      </c>
      <c r="C28" s="22">
        <f>VLOOKUP($B28,H01_M3,C$3,FALSE)</f>
        <v>0</v>
      </c>
      <c r="D28" s="28">
        <f>VLOOKUP($B28,H01_M3,D$3,FALSE)</f>
        <v>1</v>
      </c>
      <c r="E28" s="22">
        <f>VLOOKUP($B28,H02_M3,E$3,FALSE)</f>
        <v>0</v>
      </c>
      <c r="F28" s="28">
        <f>VLOOKUP($B28,H02_M3,F$3,FALSE)</f>
        <v>1</v>
      </c>
      <c r="G28" s="22">
        <f>VLOOKUP($B28,H03_M3,G$3,FALSE)</f>
        <v>0</v>
      </c>
      <c r="H28" s="28">
        <f>VLOOKUP($B28,H03_M3,H$3,FALSE)</f>
        <v>1</v>
      </c>
      <c r="I28" s="22">
        <f>VLOOKUP($B28,H04_M3,I$3,FALSE)</f>
        <v>0</v>
      </c>
      <c r="J28" s="28">
        <f>VLOOKUP($B28,H04_M3,J$3,FALSE)</f>
        <v>1</v>
      </c>
      <c r="K28" s="22">
        <f>VLOOKUP($B28,H05_M3,K$3,FALSE)</f>
        <v>0</v>
      </c>
      <c r="L28" s="28">
        <f>VLOOKUP($B28,H05_M3,L$3,FALSE)</f>
        <v>1</v>
      </c>
      <c r="M28" s="22">
        <f>VLOOKUP($B28,H06_M3,M$3,FALSE)</f>
        <v>0</v>
      </c>
      <c r="N28" s="28">
        <f>VLOOKUP($B28,H06_M3,N$3,FALSE)</f>
        <v>1</v>
      </c>
      <c r="O28" s="22">
        <f>VLOOKUP($B28,H07_M3,O$3,FALSE)</f>
        <v>-4.3263373907741602</v>
      </c>
      <c r="P28" s="28">
        <f>VLOOKUP($B28,H07_M3,P$3,FALSE)</f>
        <v>0.33507954702387699</v>
      </c>
      <c r="Q28" s="22" t="s">
        <v>48</v>
      </c>
      <c r="R28" s="28" t="s">
        <v>48</v>
      </c>
      <c r="S28" s="22">
        <f>VLOOKUP($B28,H09_M3,S$3,FALSE)</f>
        <v>0</v>
      </c>
      <c r="T28" s="28">
        <f>VLOOKUP($B28,H09_M3,T$3,FALSE)</f>
        <v>1</v>
      </c>
      <c r="U28" s="22">
        <f>VLOOKUP($B28,H10_M3,U$3,FALSE)</f>
        <v>0</v>
      </c>
      <c r="V28" s="28">
        <f>VLOOKUP($B28,H10_M3,V$3,FALSE)</f>
        <v>1</v>
      </c>
      <c r="W28" s="22">
        <f>VLOOKUP($B28,H11_M3,W$3,FALSE)</f>
        <v>0</v>
      </c>
      <c r="X28" s="28">
        <f>VLOOKUP($B28,H11_M3,X$3,FALSE)</f>
        <v>1</v>
      </c>
      <c r="Y28" s="22">
        <f>VLOOKUP($B28,H12_M3,Y$3,FALSE)</f>
        <v>-6.3232502767830301</v>
      </c>
      <c r="Z28" s="28">
        <f>VLOOKUP($B28,H12_M3,Z$3,FALSE)</f>
        <v>0.47103014696117601</v>
      </c>
      <c r="AA28" s="22">
        <f>VLOOKUP($B28,H13_M3,AA$3,FALSE)</f>
        <v>0</v>
      </c>
      <c r="AB28" s="28">
        <f>VLOOKUP($B28,H13_M3,AB$3,FALSE)</f>
        <v>1</v>
      </c>
      <c r="AD28" s="2" cm="1">
        <f t="array" ref="AD28">SUMPRODUCT((MOD(COLUMN($C28:$AA28),2)=1)*ISNUMBER($C28:$AA28)*($C28:$AA28&lt;&gt;0)*($D28:$AB28&lt;0.05))</f>
        <v>0</v>
      </c>
      <c r="AE28" s="2" cm="1">
        <f t="array" ref="AE28">SUMPRODUCT((MOD(COLUMN($C28:$AA28),2)=1)*ISNUMBER($C28:$AA28)*($C28:$AA28&lt;&gt;0)*($D28:$AB28&gt;=0.05))</f>
        <v>2</v>
      </c>
      <c r="AF28" s="2" cm="1">
        <f t="array" ref="AF28">SUMPRODUCT((MOD(COLUMN($C28:$AA28),2)=1)*ISNUMBER($C28:$AA28)*($C28:$AA28=0))</f>
        <v>10</v>
      </c>
    </row>
    <row r="29" spans="2:32" x14ac:dyDescent="0.2">
      <c r="B29" s="5" t="s">
        <v>78</v>
      </c>
      <c r="C29" s="22">
        <f>VLOOKUP($B29,H01_M3,C$3,FALSE)</f>
        <v>-2.5389181409588999</v>
      </c>
      <c r="D29" s="28">
        <f>VLOOKUP($B29,H01_M3,D$3,FALSE)</f>
        <v>7.3315798028161701E-6</v>
      </c>
      <c r="E29" s="22">
        <f>VLOOKUP($B29,H02_M3,E$3,FALSE)</f>
        <v>-5.0594420393049697</v>
      </c>
      <c r="F29" s="28">
        <f>VLOOKUP($B29,H02_M3,F$3,FALSE)</f>
        <v>3.1658791774105098E-3</v>
      </c>
      <c r="G29" s="22">
        <f>VLOOKUP($B29,H03_M3,G$3,FALSE)</f>
        <v>-6.0817115816309704</v>
      </c>
      <c r="H29" s="28">
        <f>VLOOKUP($B29,H03_M3,H$3,FALSE)</f>
        <v>6.3554717044666996E-11</v>
      </c>
      <c r="I29" s="22">
        <f>VLOOKUP($B29,H04_M3,I$3,FALSE)</f>
        <v>-5.8662636732879401</v>
      </c>
      <c r="J29" s="28">
        <f>VLOOKUP($B29,H04_M3,J$3,FALSE)</f>
        <v>2.4462120594752599E-3</v>
      </c>
      <c r="K29" s="22">
        <f>VLOOKUP($B29,H05_M3,K$3,FALSE)</f>
        <v>-1.1011289833175</v>
      </c>
      <c r="L29" s="28">
        <f>VLOOKUP($B29,H05_M3,L$3,FALSE)</f>
        <v>1.01898392168564E-7</v>
      </c>
      <c r="M29" s="22">
        <f>VLOOKUP($B29,H06_M3,M$3,FALSE)</f>
        <v>-6.22952985837646</v>
      </c>
      <c r="N29" s="28">
        <f>VLOOKUP($B29,H06_M3,N$3,FALSE)</f>
        <v>5.1981852811078196E-6</v>
      </c>
      <c r="O29" s="22">
        <f>VLOOKUP($B29,H07_M3,O$3,FALSE)</f>
        <v>-9.7313565221786593</v>
      </c>
      <c r="P29" s="28">
        <f>VLOOKUP($B29,H07_M3,P$3,FALSE)</f>
        <v>0.15208664869951599</v>
      </c>
      <c r="Q29" s="22" t="s">
        <v>48</v>
      </c>
      <c r="R29" s="28" t="s">
        <v>48</v>
      </c>
      <c r="S29" s="22">
        <f>VLOOKUP($B29,H09_M3,S$3,FALSE)</f>
        <v>-5.4818218340651201</v>
      </c>
      <c r="T29" s="28">
        <f>VLOOKUP($B29,H09_M3,T$3,FALSE)</f>
        <v>4.1638865688753396E-9</v>
      </c>
      <c r="U29" s="22">
        <f>VLOOKUP($B29,H10_M3,U$3,FALSE)</f>
        <v>-8.8817913857181807</v>
      </c>
      <c r="V29" s="28">
        <f>VLOOKUP($B29,H10_M3,V$3,FALSE)</f>
        <v>3.8285725514489E-2</v>
      </c>
      <c r="W29" s="22">
        <f>VLOOKUP($B29,H11_M3,W$3,FALSE)</f>
        <v>-2.82933269891114</v>
      </c>
      <c r="X29" s="28">
        <f>VLOOKUP($B29,H11_M3,X$3,FALSE)</f>
        <v>9.77705066277367E-4</v>
      </c>
      <c r="Y29" s="22">
        <f>VLOOKUP($B29,H12_M3,Y$3,FALSE)</f>
        <v>-3.8003091358578001</v>
      </c>
      <c r="Z29" s="28">
        <f>VLOOKUP($B29,H12_M3,Z$3,FALSE)</f>
        <v>7.3293779059025094E-2</v>
      </c>
      <c r="AA29" s="22">
        <f>VLOOKUP($B29,H13_M3,AA$3,FALSE)</f>
        <v>-2.4717754294000698</v>
      </c>
      <c r="AB29" s="28">
        <f>VLOOKUP($B29,H13_M3,AB$3,FALSE)</f>
        <v>4.4726553920515499E-6</v>
      </c>
      <c r="AD29" s="2" cm="1">
        <f t="array" ref="AD29">SUMPRODUCT((MOD(COLUMN($C29:$AA29),2)=1)*ISNUMBER($C29:$AA29)*($C29:$AA29&lt;&gt;0)*($D29:$AB29&lt;0.05))</f>
        <v>10</v>
      </c>
      <c r="AE29" s="2" cm="1">
        <f t="array" ref="AE29">SUMPRODUCT((MOD(COLUMN($C29:$AA29),2)=1)*ISNUMBER($C29:$AA29)*($C29:$AA29&lt;&gt;0)*($D29:$AB29&gt;=0.05))</f>
        <v>2</v>
      </c>
      <c r="AF29" s="2" cm="1">
        <f t="array" ref="AF29">SUMPRODUCT((MOD(COLUMN($C29:$AA29),2)=1)*ISNUMBER($C29:$AA29)*($C29:$AA29=0))</f>
        <v>0</v>
      </c>
    </row>
    <row r="30" spans="2:32" x14ac:dyDescent="0.2">
      <c r="B30" s="5" t="s">
        <v>32</v>
      </c>
      <c r="C30" s="22">
        <f>VLOOKUP($B30,H01_M3,C$3,FALSE)</f>
        <v>4.6107669830465303</v>
      </c>
      <c r="D30" s="28">
        <f>VLOOKUP($B30,H01_M3,D$3,FALSE)</f>
        <v>0</v>
      </c>
      <c r="E30" s="22">
        <f>VLOOKUP($B30,H02_M3,E$3,FALSE)</f>
        <v>4.4627240759408098</v>
      </c>
      <c r="F30" s="28">
        <f>VLOOKUP($B30,H02_M3,F$3,FALSE)</f>
        <v>3.0356482761062499E-5</v>
      </c>
      <c r="G30" s="22">
        <f>VLOOKUP($B30,H03_M3,G$3,FALSE)</f>
        <v>6.2937399188780301</v>
      </c>
      <c r="H30" s="28">
        <f>VLOOKUP($B30,H03_M3,H$3,FALSE)</f>
        <v>0</v>
      </c>
      <c r="I30" s="22">
        <f>VLOOKUP($B30,H04_M3,I$3,FALSE)</f>
        <v>2.9610235994138301</v>
      </c>
      <c r="J30" s="28">
        <f>VLOOKUP($B30,H04_M3,J$3,FALSE)</f>
        <v>9.8551136524305206E-4</v>
      </c>
      <c r="K30" s="22">
        <f>VLOOKUP($B30,H05_M3,K$3,FALSE)</f>
        <v>2.4289487809137298</v>
      </c>
      <c r="L30" s="28">
        <f>VLOOKUP($B30,H05_M3,L$3,FALSE)</f>
        <v>5.9975754190810797E-5</v>
      </c>
      <c r="M30" s="22">
        <f>VLOOKUP($B30,H06_M3,M$3,FALSE)</f>
        <v>5.7318173401710801</v>
      </c>
      <c r="N30" s="28">
        <f>VLOOKUP($B30,H06_M3,N$3,FALSE)</f>
        <v>1.02726620543336E-8</v>
      </c>
      <c r="O30" s="22">
        <f>VLOOKUP($B30,H07_M3,O$3,FALSE)</f>
        <v>6.5504320311489099</v>
      </c>
      <c r="P30" s="28">
        <f>VLOOKUP($B30,H07_M3,P$3,FALSE)</f>
        <v>6.4552506360060396E-5</v>
      </c>
      <c r="Q30" s="22" t="s">
        <v>48</v>
      </c>
      <c r="R30" s="28" t="s">
        <v>48</v>
      </c>
      <c r="S30" s="22">
        <f>VLOOKUP($B30,H09_M3,S$3,FALSE)</f>
        <v>4.0615761360536098</v>
      </c>
      <c r="T30" s="28">
        <f>VLOOKUP($B30,H09_M3,T$3,FALSE)</f>
        <v>6.9466277508034503E-6</v>
      </c>
      <c r="U30" s="22">
        <f>VLOOKUP($B30,H10_M3,U$3,FALSE)</f>
        <v>6.7729202526884702</v>
      </c>
      <c r="V30" s="28">
        <f>VLOOKUP($B30,H10_M3,V$3,FALSE)</f>
        <v>1.67728943999323E-3</v>
      </c>
      <c r="W30" s="22">
        <f>VLOOKUP($B30,H11_M3,W$3,FALSE)</f>
        <v>6.8987478362916796</v>
      </c>
      <c r="X30" s="28">
        <f>VLOOKUP($B30,H11_M3,X$3,FALSE)</f>
        <v>4.3054804872433201E-6</v>
      </c>
      <c r="Y30" s="22">
        <f>VLOOKUP($B30,H12_M3,Y$3,FALSE)</f>
        <v>0</v>
      </c>
      <c r="Z30" s="28">
        <f>VLOOKUP($B30,H12_M3,Z$3,FALSE)</f>
        <v>1</v>
      </c>
      <c r="AA30" s="22">
        <f>VLOOKUP($B30,H13_M3,AA$3,FALSE)</f>
        <v>3.43600044293638</v>
      </c>
      <c r="AB30" s="28">
        <f>VLOOKUP($B30,H13_M3,AB$3,FALSE)</f>
        <v>1.6885766025431701E-6</v>
      </c>
      <c r="AD30" s="2" cm="1">
        <f t="array" ref="AD30">SUMPRODUCT((MOD(COLUMN($C30:$AA30),2)=1)*ISNUMBER($C30:$AA30)*($C30:$AA30&lt;&gt;0)*($D30:$AB30&lt;0.05))</f>
        <v>11</v>
      </c>
      <c r="AE30" s="2" cm="1">
        <f t="array" ref="AE30">SUMPRODUCT((MOD(COLUMN($C30:$AA30),2)=1)*ISNUMBER($C30:$AA30)*($C30:$AA30&lt;&gt;0)*($D30:$AB30&gt;=0.05))</f>
        <v>0</v>
      </c>
      <c r="AF30" s="2" cm="1">
        <f t="array" ref="AF30">SUMPRODUCT((MOD(COLUMN($C30:$AA30),2)=1)*ISNUMBER($C30:$AA30)*($C30:$AA30=0))</f>
        <v>1</v>
      </c>
    </row>
    <row r="31" spans="2:32" x14ac:dyDescent="0.2">
      <c r="C31" s="40">
        <v>2</v>
      </c>
      <c r="D31" s="40">
        <v>5</v>
      </c>
      <c r="E31" s="40">
        <v>2</v>
      </c>
      <c r="F31" s="40">
        <v>5</v>
      </c>
      <c r="G31" s="40">
        <v>2</v>
      </c>
      <c r="H31" s="40">
        <v>5</v>
      </c>
      <c r="I31" s="40">
        <v>2</v>
      </c>
      <c r="J31" s="40">
        <v>5</v>
      </c>
      <c r="K31" s="40">
        <v>2</v>
      </c>
      <c r="L31" s="40">
        <v>5</v>
      </c>
      <c r="M31" s="40">
        <v>2</v>
      </c>
      <c r="N31" s="40">
        <v>5</v>
      </c>
      <c r="O31" s="40">
        <v>2</v>
      </c>
      <c r="P31" s="40">
        <v>5</v>
      </c>
      <c r="Q31" s="40">
        <v>2</v>
      </c>
      <c r="R31" s="40">
        <v>5</v>
      </c>
      <c r="S31" s="40">
        <v>2</v>
      </c>
      <c r="T31" s="40">
        <v>5</v>
      </c>
      <c r="U31" s="40">
        <v>2</v>
      </c>
      <c r="V31" s="40">
        <v>5</v>
      </c>
      <c r="W31" s="40">
        <v>2</v>
      </c>
      <c r="X31" s="40">
        <v>5</v>
      </c>
      <c r="Y31" s="40">
        <v>2</v>
      </c>
      <c r="Z31" s="40">
        <v>5</v>
      </c>
      <c r="AA31" s="40">
        <v>2</v>
      </c>
      <c r="AB31" s="40">
        <v>5</v>
      </c>
    </row>
    <row r="32" spans="2:32" x14ac:dyDescent="0.2">
      <c r="B32" s="36" t="s">
        <v>11</v>
      </c>
      <c r="C32" s="22" t="s">
        <v>23</v>
      </c>
      <c r="D32" s="39" t="s">
        <v>26</v>
      </c>
      <c r="E32" s="22" t="s">
        <v>23</v>
      </c>
      <c r="F32" s="39" t="s">
        <v>26</v>
      </c>
      <c r="G32" s="22" t="s">
        <v>23</v>
      </c>
      <c r="H32" s="39" t="s">
        <v>26</v>
      </c>
      <c r="I32" s="22" t="s">
        <v>23</v>
      </c>
      <c r="J32" s="39" t="s">
        <v>26</v>
      </c>
      <c r="K32" s="22" t="s">
        <v>23</v>
      </c>
      <c r="L32" s="39" t="s">
        <v>26</v>
      </c>
      <c r="M32" s="22" t="s">
        <v>23</v>
      </c>
      <c r="N32" s="39" t="s">
        <v>26</v>
      </c>
      <c r="O32" s="22" t="s">
        <v>23</v>
      </c>
      <c r="P32" s="39" t="s">
        <v>26</v>
      </c>
      <c r="Q32" s="22" t="s">
        <v>23</v>
      </c>
      <c r="R32" s="39" t="s">
        <v>26</v>
      </c>
      <c r="S32" s="22" t="s">
        <v>23</v>
      </c>
      <c r="T32" s="39" t="s">
        <v>26</v>
      </c>
      <c r="U32" s="22" t="s">
        <v>23</v>
      </c>
      <c r="V32" s="39" t="s">
        <v>26</v>
      </c>
      <c r="W32" s="22" t="s">
        <v>23</v>
      </c>
      <c r="X32" s="39" t="s">
        <v>26</v>
      </c>
      <c r="Y32" s="22" t="s">
        <v>23</v>
      </c>
      <c r="Z32" s="39" t="s">
        <v>26</v>
      </c>
      <c r="AA32" s="22" t="s">
        <v>23</v>
      </c>
      <c r="AB32" s="39" t="s">
        <v>26</v>
      </c>
      <c r="AD32" s="11" t="s">
        <v>103</v>
      </c>
      <c r="AE32" s="11" t="s">
        <v>104</v>
      </c>
      <c r="AF32" s="11" t="s">
        <v>105</v>
      </c>
    </row>
    <row r="33" spans="2:32" x14ac:dyDescent="0.2">
      <c r="B33" s="5" t="s">
        <v>83</v>
      </c>
      <c r="C33" s="22" t="s">
        <v>48</v>
      </c>
      <c r="D33" s="28" t="s">
        <v>48</v>
      </c>
      <c r="E33" s="22" t="s">
        <v>48</v>
      </c>
      <c r="F33" s="28" t="s">
        <v>48</v>
      </c>
      <c r="G33" s="22" t="s">
        <v>48</v>
      </c>
      <c r="H33" s="28" t="s">
        <v>48</v>
      </c>
      <c r="I33" s="22" t="s">
        <v>48</v>
      </c>
      <c r="J33" s="28" t="s">
        <v>48</v>
      </c>
      <c r="K33" s="22">
        <f>VLOOKUP($B33,H05_M3,K$3,FALSE)</f>
        <v>0</v>
      </c>
      <c r="L33" s="28">
        <f>VLOOKUP($B33,H05_M3,L$3,FALSE)</f>
        <v>1</v>
      </c>
      <c r="M33" s="22" t="s">
        <v>48</v>
      </c>
      <c r="N33" s="28" t="s">
        <v>48</v>
      </c>
      <c r="O33" s="22" t="s">
        <v>48</v>
      </c>
      <c r="P33" s="28" t="s">
        <v>48</v>
      </c>
      <c r="Q33" s="22">
        <f>VLOOKUP($B33,H08_M3,Q$3,FALSE)</f>
        <v>0</v>
      </c>
      <c r="R33" s="28">
        <f>VLOOKUP($B33,H08_M3,R$3,FALSE)</f>
        <v>1</v>
      </c>
      <c r="S33" s="22" t="s">
        <v>48</v>
      </c>
      <c r="T33" s="28" t="s">
        <v>48</v>
      </c>
      <c r="U33" s="22">
        <f>VLOOKUP($B33,H10_M3,U$3,FALSE)</f>
        <v>0</v>
      </c>
      <c r="V33" s="28">
        <f>VLOOKUP($B33,H10_M3,V$3,FALSE)</f>
        <v>1</v>
      </c>
      <c r="W33" s="22" t="s">
        <v>48</v>
      </c>
      <c r="X33" s="28" t="s">
        <v>48</v>
      </c>
      <c r="Y33" s="22">
        <f>VLOOKUP($B33,H12_M3,Y$3,FALSE)</f>
        <v>-0.54429434789228104</v>
      </c>
      <c r="Z33" s="28">
        <f>VLOOKUP($B33,H12_M3,Z$3,FALSE)</f>
        <v>0.57437020680582795</v>
      </c>
      <c r="AA33" s="22" t="s">
        <v>48</v>
      </c>
      <c r="AB33" s="28" t="s">
        <v>48</v>
      </c>
      <c r="AD33" s="2" cm="1">
        <f t="array" ref="AD33">SUMPRODUCT((MOD(COLUMN($C33:$AA33),2)=1)*ISNUMBER($C33:$AA33)*($C33:$AA33&lt;&gt;0)*($D33:$AB33&lt;0.05))</f>
        <v>0</v>
      </c>
      <c r="AE33" s="2" cm="1">
        <f t="array" ref="AE33">SUMPRODUCT((MOD(COLUMN($C33:$AA33),2)=1)*ISNUMBER($C33:$AA33)*($C33:$AA33&lt;&gt;0)*($D33:$AB33&gt;=0.05))</f>
        <v>1</v>
      </c>
      <c r="AF33" s="2" cm="1">
        <f t="array" ref="AF33">SUMPRODUCT((MOD(COLUMN($C33:$AA33),2)=1)*ISNUMBER($C33:$AA33)*($C33:$AA33=0))</f>
        <v>3</v>
      </c>
    </row>
    <row r="34" spans="2:32" x14ac:dyDescent="0.2">
      <c r="B34" s="5" t="s">
        <v>84</v>
      </c>
      <c r="C34" s="22" t="s">
        <v>48</v>
      </c>
      <c r="D34" s="28" t="s">
        <v>48</v>
      </c>
      <c r="E34" s="22" t="s">
        <v>48</v>
      </c>
      <c r="F34" s="28" t="s">
        <v>48</v>
      </c>
      <c r="G34" s="22" t="s">
        <v>48</v>
      </c>
      <c r="H34" s="28" t="s">
        <v>48</v>
      </c>
      <c r="I34" s="22" t="s">
        <v>48</v>
      </c>
      <c r="J34" s="28" t="s">
        <v>48</v>
      </c>
      <c r="K34" s="22">
        <f>VLOOKUP($B34,H05_M3,K$3,FALSE)</f>
        <v>-0.17513046718648201</v>
      </c>
      <c r="L34" s="28">
        <f>VLOOKUP($B34,H05_M3,L$3,FALSE)</f>
        <v>0.64860800434011601</v>
      </c>
      <c r="M34" s="22" t="s">
        <v>48</v>
      </c>
      <c r="N34" s="28" t="s">
        <v>48</v>
      </c>
      <c r="O34" s="22" t="s">
        <v>48</v>
      </c>
      <c r="P34" s="28" t="s">
        <v>48</v>
      </c>
      <c r="Q34" s="22">
        <f>VLOOKUP($B34,H08_M3,Q$3,FALSE)</f>
        <v>0</v>
      </c>
      <c r="R34" s="28">
        <f>VLOOKUP($B34,H08_M3,R$3,FALSE)</f>
        <v>1</v>
      </c>
      <c r="S34" s="22" t="s">
        <v>48</v>
      </c>
      <c r="T34" s="28" t="s">
        <v>48</v>
      </c>
      <c r="U34" s="22">
        <f>VLOOKUP($B34,H10_M3,U$3,FALSE)</f>
        <v>-9.6231814143819303E-2</v>
      </c>
      <c r="V34" s="28">
        <f>VLOOKUP($B34,H10_M3,V$3,FALSE)</f>
        <v>0.81333971347273004</v>
      </c>
      <c r="W34" s="22" t="s">
        <v>48</v>
      </c>
      <c r="X34" s="28" t="s">
        <v>48</v>
      </c>
      <c r="Y34" s="22">
        <f>VLOOKUP($B34,H12_M3,Y$3,FALSE)</f>
        <v>-5.6111872328344303E-2</v>
      </c>
      <c r="Z34" s="28">
        <f>VLOOKUP($B34,H12_M3,Z$3,FALSE)</f>
        <v>0.93784005431058404</v>
      </c>
      <c r="AA34" s="22" t="s">
        <v>48</v>
      </c>
      <c r="AB34" s="28" t="s">
        <v>48</v>
      </c>
      <c r="AD34" s="2" cm="1">
        <f t="array" ref="AD34">SUMPRODUCT((MOD(COLUMN($C34:$AA34),2)=1)*ISNUMBER($C34:$AA34)*($C34:$AA34&lt;&gt;0)*($D34:$AB34&lt;0.05))</f>
        <v>0</v>
      </c>
      <c r="AE34" s="2" cm="1">
        <f t="array" ref="AE34">SUMPRODUCT((MOD(COLUMN($C34:$AA34),2)=1)*ISNUMBER($C34:$AA34)*($C34:$AA34&lt;&gt;0)*($D34:$AB34&gt;=0.05))</f>
        <v>3</v>
      </c>
      <c r="AF34" s="2" cm="1">
        <f t="array" ref="AF34">SUMPRODUCT((MOD(COLUMN($C34:$AA34),2)=1)*ISNUMBER($C34:$AA34)*($C34:$AA34=0))</f>
        <v>1</v>
      </c>
    </row>
    <row r="35" spans="2:32" x14ac:dyDescent="0.2">
      <c r="B35" s="5" t="s">
        <v>85</v>
      </c>
      <c r="C35" s="22" t="s">
        <v>48</v>
      </c>
      <c r="D35" s="28" t="s">
        <v>48</v>
      </c>
      <c r="E35" s="22" t="s">
        <v>48</v>
      </c>
      <c r="F35" s="28" t="s">
        <v>48</v>
      </c>
      <c r="G35" s="22" t="s">
        <v>48</v>
      </c>
      <c r="H35" s="28" t="s">
        <v>48</v>
      </c>
      <c r="I35" s="22" t="s">
        <v>48</v>
      </c>
      <c r="J35" s="28" t="s">
        <v>48</v>
      </c>
      <c r="K35" s="22">
        <f>VLOOKUP($B35,H05_M3,K$3,FALSE)</f>
        <v>-2.8116643846673002</v>
      </c>
      <c r="L35" s="28">
        <f>VLOOKUP($B35,H05_M3,L$3,FALSE)</f>
        <v>8.5668057891921095E-3</v>
      </c>
      <c r="M35" s="22" t="s">
        <v>48</v>
      </c>
      <c r="N35" s="28" t="s">
        <v>48</v>
      </c>
      <c r="O35" s="22" t="s">
        <v>48</v>
      </c>
      <c r="P35" s="28" t="s">
        <v>48</v>
      </c>
      <c r="Q35" s="22">
        <f>VLOOKUP($B35,H08_M3,Q$3,FALSE)</f>
        <v>-3.2473774649687601</v>
      </c>
      <c r="R35" s="28">
        <f>VLOOKUP($B35,H08_M3,R$3,FALSE)</f>
        <v>3.3339427369960501E-4</v>
      </c>
      <c r="S35" s="22" t="s">
        <v>48</v>
      </c>
      <c r="T35" s="28" t="s">
        <v>48</v>
      </c>
      <c r="U35" s="22">
        <f>VLOOKUP($B35,H10_M3,U$3,FALSE)</f>
        <v>-11.1675005300224</v>
      </c>
      <c r="V35" s="28">
        <f>VLOOKUP($B35,H10_M3,V$3,FALSE)</f>
        <v>1.34748240041659E-2</v>
      </c>
      <c r="W35" s="22" t="s">
        <v>48</v>
      </c>
      <c r="X35" s="28" t="s">
        <v>48</v>
      </c>
      <c r="Y35" s="22">
        <f>VLOOKUP($B35,H12_M3,Y$3,FALSE)</f>
        <v>0</v>
      </c>
      <c r="Z35" s="28">
        <f>VLOOKUP($B35,H12_M3,Z$3,FALSE)</f>
        <v>1</v>
      </c>
      <c r="AA35" s="22" t="s">
        <v>48</v>
      </c>
      <c r="AB35" s="28" t="s">
        <v>48</v>
      </c>
      <c r="AD35" s="2" cm="1">
        <f t="array" ref="AD35">SUMPRODUCT((MOD(COLUMN($C35:$AA35),2)=1)*ISNUMBER($C35:$AA35)*($C35:$AA35&lt;&gt;0)*($D35:$AB35&lt;0.05))</f>
        <v>3</v>
      </c>
      <c r="AE35" s="2" cm="1">
        <f t="array" ref="AE35">SUMPRODUCT((MOD(COLUMN($C35:$AA35),2)=1)*ISNUMBER($C35:$AA35)*($C35:$AA35&lt;&gt;0)*($D35:$AB35&gt;=0.05))</f>
        <v>0</v>
      </c>
      <c r="AF35" s="2" cm="1">
        <f t="array" ref="AF35">SUMPRODUCT((MOD(COLUMN($C35:$AA35),2)=1)*ISNUMBER($C35:$AA35)*($C35:$AA35=0))</f>
        <v>1</v>
      </c>
    </row>
    <row r="36" spans="2:32" x14ac:dyDescent="0.2">
      <c r="B36" s="5" t="s">
        <v>86</v>
      </c>
      <c r="C36" s="22" t="s">
        <v>48</v>
      </c>
      <c r="D36" s="28" t="s">
        <v>48</v>
      </c>
      <c r="E36" s="22" t="s">
        <v>48</v>
      </c>
      <c r="F36" s="28" t="s">
        <v>48</v>
      </c>
      <c r="G36" s="22" t="s">
        <v>48</v>
      </c>
      <c r="H36" s="28" t="s">
        <v>48</v>
      </c>
      <c r="I36" s="22" t="s">
        <v>48</v>
      </c>
      <c r="J36" s="28" t="s">
        <v>48</v>
      </c>
      <c r="K36" s="22">
        <f>VLOOKUP($B36,H05_M3,K$3,FALSE)</f>
        <v>-2.5981252054175599</v>
      </c>
      <c r="L36" s="28">
        <f>VLOOKUP($B36,H05_M3,L$3,FALSE)</f>
        <v>5.5635308749302204E-4</v>
      </c>
      <c r="M36" s="22" t="s">
        <v>48</v>
      </c>
      <c r="N36" s="28" t="s">
        <v>48</v>
      </c>
      <c r="O36" s="22" t="s">
        <v>48</v>
      </c>
      <c r="P36" s="28" t="s">
        <v>48</v>
      </c>
      <c r="Q36" s="22">
        <f>VLOOKUP($B36,H08_M3,Q$3,FALSE)</f>
        <v>-2.0953306787341401</v>
      </c>
      <c r="R36" s="28">
        <f>VLOOKUP($B36,H08_M3,R$3,FALSE)</f>
        <v>6.4490312283726995E-5</v>
      </c>
      <c r="S36" s="22" t="s">
        <v>48</v>
      </c>
      <c r="T36" s="28" t="s">
        <v>48</v>
      </c>
      <c r="U36" s="22">
        <f>VLOOKUP($B36,H10_M3,U$3,FALSE)</f>
        <v>-4.1057424869375101</v>
      </c>
      <c r="V36" s="28">
        <f>VLOOKUP($B36,H10_M3,V$3,FALSE)</f>
        <v>4.3094314351289603E-2</v>
      </c>
      <c r="W36" s="22" t="s">
        <v>48</v>
      </c>
      <c r="X36" s="28" t="s">
        <v>48</v>
      </c>
      <c r="Y36" s="22">
        <f>VLOOKUP($B36,H12_M3,Y$3,FALSE)</f>
        <v>-4.9601075768737397</v>
      </c>
      <c r="Z36" s="28">
        <f>VLOOKUP($B36,H12_M3,Z$3,FALSE)</f>
        <v>1.11076235189844E-3</v>
      </c>
      <c r="AA36" s="22" t="s">
        <v>48</v>
      </c>
      <c r="AB36" s="28" t="s">
        <v>48</v>
      </c>
      <c r="AD36" s="2" cm="1">
        <f t="array" ref="AD36">SUMPRODUCT((MOD(COLUMN($C36:$AA36),2)=1)*ISNUMBER($C36:$AA36)*($C36:$AA36&lt;&gt;0)*($D36:$AB36&lt;0.05))</f>
        <v>4</v>
      </c>
      <c r="AE36" s="2" cm="1">
        <f t="array" ref="AE36">SUMPRODUCT((MOD(COLUMN($C36:$AA36),2)=1)*ISNUMBER($C36:$AA36)*($C36:$AA36&lt;&gt;0)*($D36:$AB36&gt;=0.05))</f>
        <v>0</v>
      </c>
      <c r="AF36" s="2" cm="1">
        <f t="array" ref="AF36">SUMPRODUCT((MOD(COLUMN($C36:$AA36),2)=1)*ISNUMBER($C36:$AA36)*($C36:$AA36=0))</f>
        <v>0</v>
      </c>
    </row>
    <row r="37" spans="2:32" x14ac:dyDescent="0.2">
      <c r="B37" s="5" t="s">
        <v>47</v>
      </c>
      <c r="C37" s="22" t="s">
        <v>48</v>
      </c>
      <c r="D37" s="28" t="s">
        <v>48</v>
      </c>
      <c r="E37" s="22" t="s">
        <v>48</v>
      </c>
      <c r="F37" s="28" t="s">
        <v>48</v>
      </c>
      <c r="G37" s="22" t="s">
        <v>48</v>
      </c>
      <c r="H37" s="28" t="s">
        <v>48</v>
      </c>
      <c r="I37" s="22" t="s">
        <v>48</v>
      </c>
      <c r="J37" s="28" t="s">
        <v>48</v>
      </c>
      <c r="K37" s="22">
        <f>VLOOKUP($B37,H05_M3,K$3,FALSE)</f>
        <v>1.5556535935328599</v>
      </c>
      <c r="L37" s="28">
        <f>VLOOKUP($B37,H05_M3,L$3,FALSE)</f>
        <v>8.2767369814281205E-2</v>
      </c>
      <c r="M37" s="22" t="s">
        <v>48</v>
      </c>
      <c r="N37" s="28" t="s">
        <v>48</v>
      </c>
      <c r="O37" s="22" t="s">
        <v>48</v>
      </c>
      <c r="P37" s="28" t="s">
        <v>48</v>
      </c>
      <c r="Q37" s="22">
        <f>VLOOKUP($B37,H08_M3,Q$3,FALSE)</f>
        <v>3.4295743612645402</v>
      </c>
      <c r="R37" s="28">
        <f>VLOOKUP($B37,H08_M3,R$3,FALSE)</f>
        <v>1.12085664367711E-4</v>
      </c>
      <c r="S37" s="22" t="s">
        <v>48</v>
      </c>
      <c r="T37" s="28" t="s">
        <v>48</v>
      </c>
      <c r="U37" s="22">
        <f>VLOOKUP($B37,H10_M3,U$3,FALSE)</f>
        <v>6.3487205829289</v>
      </c>
      <c r="V37" s="28">
        <f>VLOOKUP($B37,H10_M3,V$3,FALSE)</f>
        <v>1.8089566022449999E-5</v>
      </c>
      <c r="W37" s="22" t="s">
        <v>48</v>
      </c>
      <c r="X37" s="28" t="s">
        <v>48</v>
      </c>
      <c r="Y37" s="22">
        <f>VLOOKUP($B37,H12_M3,Y$3,FALSE)</f>
        <v>2.8609341043248202</v>
      </c>
      <c r="Z37" s="28">
        <f>VLOOKUP($B37,H12_M3,Z$3,FALSE)</f>
        <v>5.6288247814716197E-2</v>
      </c>
      <c r="AA37" s="22" t="s">
        <v>48</v>
      </c>
      <c r="AB37" s="28" t="s">
        <v>48</v>
      </c>
      <c r="AD37" s="2" cm="1">
        <f t="array" ref="AD37">SUMPRODUCT((MOD(COLUMN($C37:$AA37),2)=1)*ISNUMBER($C37:$AA37)*($C37:$AA37&lt;&gt;0)*($D37:$AB37&lt;0.05))</f>
        <v>2</v>
      </c>
      <c r="AE37" s="2" cm="1">
        <f t="array" ref="AE37">SUMPRODUCT((MOD(COLUMN($C37:$AA37),2)=1)*ISNUMBER($C37:$AA37)*($C37:$AA37&lt;&gt;0)*($D37:$AB37&gt;=0.05))</f>
        <v>2</v>
      </c>
      <c r="AF37" s="2" cm="1">
        <f t="array" ref="AF37">SUMPRODUCT((MOD(COLUMN($C37:$AA37),2)=1)*ISNUMBER($C37:$AA37)*($C37:$AA37=0))</f>
        <v>0</v>
      </c>
    </row>
    <row r="38" spans="2:32" x14ac:dyDescent="0.2">
      <c r="C38" s="40">
        <v>2</v>
      </c>
      <c r="D38" s="40">
        <v>5</v>
      </c>
      <c r="E38" s="40">
        <v>2</v>
      </c>
      <c r="F38" s="40">
        <v>5</v>
      </c>
      <c r="G38" s="40">
        <v>2</v>
      </c>
      <c r="H38" s="40">
        <v>5</v>
      </c>
      <c r="I38" s="40">
        <v>2</v>
      </c>
      <c r="J38" s="40">
        <v>5</v>
      </c>
      <c r="K38" s="40">
        <v>2</v>
      </c>
      <c r="L38" s="40">
        <v>5</v>
      </c>
      <c r="M38" s="40">
        <v>2</v>
      </c>
      <c r="N38" s="40">
        <v>5</v>
      </c>
      <c r="O38" s="40">
        <v>2</v>
      </c>
      <c r="P38" s="40">
        <v>5</v>
      </c>
      <c r="Q38" s="40">
        <v>2</v>
      </c>
      <c r="R38" s="40">
        <v>5</v>
      </c>
      <c r="S38" s="40">
        <v>2</v>
      </c>
      <c r="T38" s="40">
        <v>5</v>
      </c>
      <c r="U38" s="40">
        <v>2</v>
      </c>
      <c r="V38" s="40">
        <v>5</v>
      </c>
      <c r="W38" s="40">
        <v>2</v>
      </c>
      <c r="X38" s="40">
        <v>5</v>
      </c>
      <c r="Y38" s="40">
        <v>2</v>
      </c>
      <c r="Z38" s="40">
        <v>5</v>
      </c>
      <c r="AA38" s="40">
        <v>2</v>
      </c>
      <c r="AB38" s="40">
        <v>5</v>
      </c>
    </row>
    <row r="39" spans="2:32" x14ac:dyDescent="0.2">
      <c r="B39" s="36" t="s">
        <v>3</v>
      </c>
      <c r="C39" s="22" t="s">
        <v>23</v>
      </c>
      <c r="D39" s="39" t="s">
        <v>26</v>
      </c>
      <c r="E39" s="22" t="s">
        <v>23</v>
      </c>
      <c r="F39" s="39" t="s">
        <v>26</v>
      </c>
      <c r="G39" s="22" t="s">
        <v>23</v>
      </c>
      <c r="H39" s="39" t="s">
        <v>26</v>
      </c>
      <c r="I39" s="22" t="s">
        <v>23</v>
      </c>
      <c r="J39" s="39" t="s">
        <v>26</v>
      </c>
      <c r="K39" s="22" t="s">
        <v>23</v>
      </c>
      <c r="L39" s="39" t="s">
        <v>26</v>
      </c>
      <c r="M39" s="22" t="s">
        <v>23</v>
      </c>
      <c r="N39" s="39" t="s">
        <v>26</v>
      </c>
      <c r="O39" s="22" t="s">
        <v>23</v>
      </c>
      <c r="P39" s="39" t="s">
        <v>26</v>
      </c>
      <c r="Q39" s="22" t="s">
        <v>23</v>
      </c>
      <c r="R39" s="39" t="s">
        <v>26</v>
      </c>
      <c r="S39" s="22" t="s">
        <v>23</v>
      </c>
      <c r="T39" s="39" t="s">
        <v>26</v>
      </c>
      <c r="U39" s="22" t="s">
        <v>23</v>
      </c>
      <c r="V39" s="39" t="s">
        <v>26</v>
      </c>
      <c r="W39" s="22" t="s">
        <v>23</v>
      </c>
      <c r="X39" s="39" t="s">
        <v>26</v>
      </c>
      <c r="Y39" s="22" t="s">
        <v>23</v>
      </c>
      <c r="Z39" s="39" t="s">
        <v>26</v>
      </c>
      <c r="AA39" s="22" t="s">
        <v>23</v>
      </c>
      <c r="AB39" s="39" t="s">
        <v>26</v>
      </c>
      <c r="AD39" s="11" t="s">
        <v>103</v>
      </c>
      <c r="AE39" s="11" t="s">
        <v>104</v>
      </c>
      <c r="AF39" s="11" t="s">
        <v>105</v>
      </c>
    </row>
    <row r="40" spans="2:32" x14ac:dyDescent="0.2">
      <c r="B40" s="37" t="s">
        <v>79</v>
      </c>
      <c r="C40" s="22">
        <f>VLOOKUP($B40,H01_M3,C$3,FALSE)</f>
        <v>-0.60375338616024199</v>
      </c>
      <c r="D40" s="28">
        <f>VLOOKUP($B40,H01_M3,D$3,FALSE)</f>
        <v>8.9227471400396594E-2</v>
      </c>
      <c r="E40" s="22">
        <f>VLOOKUP($B40,H02_M3,E$3,FALSE)</f>
        <v>-0.96770689931235598</v>
      </c>
      <c r="F40" s="28">
        <f>VLOOKUP($B40,H02_M3,F$3,FALSE)</f>
        <v>2.7899287928231799E-2</v>
      </c>
      <c r="G40" s="22">
        <f>VLOOKUP($B40,H03_M3,G$3,FALSE)</f>
        <v>0</v>
      </c>
      <c r="H40" s="28">
        <f>VLOOKUP($B40,H03_M3,H$3,FALSE)</f>
        <v>1</v>
      </c>
      <c r="I40" s="22">
        <f>VLOOKUP($B40,H04_M3,I$3,FALSE)</f>
        <v>0</v>
      </c>
      <c r="J40" s="28">
        <f>VLOOKUP($B40,H04_M3,J$3,FALSE)</f>
        <v>1</v>
      </c>
      <c r="K40" s="22">
        <f>VLOOKUP($B40,H05_M3,K$3,FALSE)</f>
        <v>0</v>
      </c>
      <c r="L40" s="28">
        <f>VLOOKUP($B40,H05_M3,L$3,FALSE)</f>
        <v>1</v>
      </c>
      <c r="M40" s="22">
        <f>VLOOKUP($B40,H06_M3,M$3,FALSE)</f>
        <v>0</v>
      </c>
      <c r="N40" s="28">
        <f>VLOOKUP($B40,H06_M3,N$3,FALSE)</f>
        <v>1</v>
      </c>
      <c r="O40" s="22">
        <f>VLOOKUP($B40,H07_M3,O$3,FALSE)</f>
        <v>-0.460242029442683</v>
      </c>
      <c r="P40" s="28">
        <f>VLOOKUP($B40,H07_M3,P$3,FALSE)</f>
        <v>0.57397887582644302</v>
      </c>
      <c r="Q40" s="22">
        <f>VLOOKUP($B40,H08_M3,Q$3,FALSE)</f>
        <v>0</v>
      </c>
      <c r="R40" s="28">
        <f>VLOOKUP($B40,H08_M3,R$3,FALSE)</f>
        <v>1</v>
      </c>
      <c r="S40" s="22">
        <f>VLOOKUP($B40,H09_M3,S$3,FALSE)</f>
        <v>-3.3520852221614397E-2</v>
      </c>
      <c r="T40" s="28">
        <f>VLOOKUP($B40,H09_M3,T$3,FALSE)</f>
        <v>0.92670572973905996</v>
      </c>
      <c r="U40" s="22">
        <f>VLOOKUP($B40,H10_M3,U$3,FALSE)</f>
        <v>-6.5225393137934597</v>
      </c>
      <c r="V40" s="28">
        <f>VLOOKUP($B40,H10_M3,V$3,FALSE)</f>
        <v>4.3585985486402003E-2</v>
      </c>
      <c r="W40" s="22">
        <f>VLOOKUP($B40,H11_M3,W$3,FALSE)</f>
        <v>0</v>
      </c>
      <c r="X40" s="28">
        <f>VLOOKUP($B40,H11_M3,X$3,FALSE)</f>
        <v>1</v>
      </c>
      <c r="Y40" s="22">
        <f>VLOOKUP($B40,H12_M3,Y$3,FALSE)</f>
        <v>-1.2556695623377701</v>
      </c>
      <c r="Z40" s="28">
        <f>VLOOKUP($B40,H12_M3,Z$3,FALSE)</f>
        <v>0.15382976573736401</v>
      </c>
      <c r="AA40" s="22">
        <f>VLOOKUP($B40,H13_M3,AA$3,FALSE)</f>
        <v>-0.80379288806093696</v>
      </c>
      <c r="AB40" s="28">
        <f>VLOOKUP($B40,H13_M3,AB$3,FALSE)</f>
        <v>9.8379754846535904E-3</v>
      </c>
      <c r="AD40" s="2" cm="1">
        <f t="array" ref="AD40">SUMPRODUCT((MOD(COLUMN($C40:$AA40),2)=1)*ISNUMBER($C40:$AA40)*($C40:$AA40&lt;&gt;0)*($D40:$AB40&lt;0.05))</f>
        <v>3</v>
      </c>
      <c r="AE40" s="2" cm="1">
        <f t="array" ref="AE40">SUMPRODUCT((MOD(COLUMN($C40:$AA40),2)=1)*ISNUMBER($C40:$AA40)*($C40:$AA40&lt;&gt;0)*($D40:$AB40&gt;=0.05))</f>
        <v>4</v>
      </c>
      <c r="AF40" s="2" cm="1">
        <f t="array" ref="AF40">SUMPRODUCT((MOD(COLUMN($C40:$AA40),2)=1)*ISNUMBER($C40:$AA40)*($C40:$AA40=0))</f>
        <v>6</v>
      </c>
    </row>
    <row r="41" spans="2:32" x14ac:dyDescent="0.2">
      <c r="B41" s="37" t="s">
        <v>80</v>
      </c>
      <c r="C41" s="22">
        <f>VLOOKUP($B41,H01_M3,C$3,FALSE)</f>
        <v>-0.46608577668950801</v>
      </c>
      <c r="D41" s="28">
        <f>VLOOKUP($B41,H01_M3,D$3,FALSE)</f>
        <v>0.10528296987232801</v>
      </c>
      <c r="E41" s="22">
        <f>VLOOKUP($B41,H02_M3,E$3,FALSE)</f>
        <v>-0.50733383602043503</v>
      </c>
      <c r="F41" s="28">
        <f>VLOOKUP($B41,H02_M3,F$3,FALSE)</f>
        <v>0.431330682401393</v>
      </c>
      <c r="G41" s="22">
        <f>VLOOKUP($B41,H03_M3,G$3,FALSE)</f>
        <v>-0.152037984388254</v>
      </c>
      <c r="H41" s="28">
        <f>VLOOKUP($B41,H03_M3,H$3,FALSE)</f>
        <v>0.38502903319877801</v>
      </c>
      <c r="I41" s="22">
        <f>VLOOKUP($B41,H04_M3,I$3,FALSE)</f>
        <v>-0.82086173020610997</v>
      </c>
      <c r="J41" s="28">
        <f>VLOOKUP($B41,H04_M3,J$3,FALSE)</f>
        <v>1.2850419711455299E-2</v>
      </c>
      <c r="K41" s="22">
        <f>VLOOKUP($B41,H05_M3,K$3,FALSE)</f>
        <v>0</v>
      </c>
      <c r="L41" s="28">
        <f>VLOOKUP($B41,H05_M3,L$3,FALSE)</f>
        <v>1</v>
      </c>
      <c r="M41" s="22">
        <f>VLOOKUP($B41,H06_M3,M$3,FALSE)</f>
        <v>-0.32742384647940898</v>
      </c>
      <c r="N41" s="28">
        <f>VLOOKUP($B41,H06_M3,N$3,FALSE)</f>
        <v>0.38253688067475999</v>
      </c>
      <c r="O41" s="22">
        <f>VLOOKUP($B41,H07_M3,O$3,FALSE)</f>
        <v>-1.9980349745567201</v>
      </c>
      <c r="P41" s="28">
        <f>VLOOKUP($B41,H07_M3,P$3,FALSE)</f>
        <v>2.0585827605260801E-2</v>
      </c>
      <c r="Q41" s="22">
        <f>VLOOKUP($B41,H08_M3,Q$3,FALSE)</f>
        <v>0</v>
      </c>
      <c r="R41" s="28">
        <f>VLOOKUP($B41,H08_M3,R$3,FALSE)</f>
        <v>1</v>
      </c>
      <c r="S41" s="22">
        <f>VLOOKUP($B41,H09_M3,S$3,FALSE)</f>
        <v>-0.71228338199567498</v>
      </c>
      <c r="T41" s="28">
        <f>VLOOKUP($B41,H09_M3,T$3,FALSE)</f>
        <v>1.0518970128319901E-2</v>
      </c>
      <c r="U41" s="22">
        <f>VLOOKUP($B41,H10_M3,U$3,FALSE)</f>
        <v>-1.0040199753724699</v>
      </c>
      <c r="V41" s="28">
        <f>VLOOKUP($B41,H10_M3,V$3,FALSE)</f>
        <v>0.123970576057522</v>
      </c>
      <c r="W41" s="22">
        <f>VLOOKUP($B41,H11_M3,W$3,FALSE)</f>
        <v>-9.1037719755618196E-2</v>
      </c>
      <c r="X41" s="28">
        <f>VLOOKUP($B41,H11_M3,X$3,FALSE)</f>
        <v>0.74507290775238899</v>
      </c>
      <c r="Y41" s="22">
        <f>VLOOKUP($B41,H12_M3,Y$3,FALSE)</f>
        <v>0</v>
      </c>
      <c r="Z41" s="28">
        <f>VLOOKUP($B41,H12_M3,Z$3,FALSE)</f>
        <v>1</v>
      </c>
      <c r="AA41" s="22">
        <f>VLOOKUP($B41,H13_M3,AA$3,FALSE)</f>
        <v>-0.33771465276798102</v>
      </c>
      <c r="AB41" s="28">
        <f>VLOOKUP($B41,H13_M3,AB$3,FALSE)</f>
        <v>0.39485580864991499</v>
      </c>
      <c r="AD41" s="2" cm="1">
        <f t="array" ref="AD41">SUMPRODUCT((MOD(COLUMN($C41:$AA41),2)=1)*ISNUMBER($C41:$AA41)*($C41:$AA41&lt;&gt;0)*($D41:$AB41&lt;0.05))</f>
        <v>3</v>
      </c>
      <c r="AE41" s="2" cm="1">
        <f t="array" ref="AE41">SUMPRODUCT((MOD(COLUMN($C41:$AA41),2)=1)*ISNUMBER($C41:$AA41)*($C41:$AA41&lt;&gt;0)*($D41:$AB41&gt;=0.05))</f>
        <v>7</v>
      </c>
      <c r="AF41" s="2" cm="1">
        <f t="array" ref="AF41">SUMPRODUCT((MOD(COLUMN($C41:$AA41),2)=1)*ISNUMBER($C41:$AA41)*($C41:$AA41=0))</f>
        <v>3</v>
      </c>
    </row>
    <row r="42" spans="2:32" x14ac:dyDescent="0.2">
      <c r="B42" s="37" t="s">
        <v>81</v>
      </c>
      <c r="C42" s="22">
        <f>VLOOKUP($B42,H01_M3,C$3,FALSE)</f>
        <v>-2.9330264456138999</v>
      </c>
      <c r="D42" s="28">
        <f>VLOOKUP($B42,H01_M3,D$3,FALSE)</f>
        <v>4.7464272490183002E-4</v>
      </c>
      <c r="E42" s="22">
        <f>VLOOKUP($B42,H02_M3,E$3,FALSE)</f>
        <v>-1.80638753514285</v>
      </c>
      <c r="F42" s="28">
        <f>VLOOKUP($B42,H02_M3,F$3,FALSE)</f>
        <v>0.128173881402144</v>
      </c>
      <c r="G42" s="22">
        <f>VLOOKUP($B42,H03_M3,G$3,FALSE)</f>
        <v>0</v>
      </c>
      <c r="H42" s="28">
        <f>VLOOKUP($B42,H03_M3,H$3,FALSE)</f>
        <v>1</v>
      </c>
      <c r="I42" s="22">
        <f>VLOOKUP($B42,H04_M3,I$3,FALSE)</f>
        <v>-6.7037982474650697</v>
      </c>
      <c r="J42" s="28">
        <f>VLOOKUP($B42,H04_M3,J$3,FALSE)</f>
        <v>1.6067406975589501E-2</v>
      </c>
      <c r="K42" s="22">
        <f>VLOOKUP($B42,H05_M3,K$3,FALSE)</f>
        <v>-0.18874059940419</v>
      </c>
      <c r="L42" s="28">
        <f>VLOOKUP($B42,H05_M3,L$3,FALSE)</f>
        <v>0.74155583317000495</v>
      </c>
      <c r="M42" s="22">
        <f>VLOOKUP($B42,H06_M3,M$3,FALSE)</f>
        <v>-1.4065714003504499</v>
      </c>
      <c r="N42" s="28">
        <f>VLOOKUP($B42,H06_M3,N$3,FALSE)</f>
        <v>3.73875368166554E-3</v>
      </c>
      <c r="O42" s="22">
        <f>VLOOKUP($B42,H07_M3,O$3,FALSE)</f>
        <v>0</v>
      </c>
      <c r="P42" s="28">
        <f>VLOOKUP($B42,H07_M3,P$3,FALSE)</f>
        <v>1</v>
      </c>
      <c r="Q42" s="22">
        <f>VLOOKUP($B42,H08_M3,Q$3,FALSE)</f>
        <v>0</v>
      </c>
      <c r="R42" s="28">
        <f>VLOOKUP($B42,H08_M3,R$3,FALSE)</f>
        <v>1</v>
      </c>
      <c r="S42" s="22">
        <f>VLOOKUP($B42,H09_M3,S$3,FALSE)</f>
        <v>-0.57819474583855102</v>
      </c>
      <c r="T42" s="28">
        <f>VLOOKUP($B42,H09_M3,T$3,FALSE)</f>
        <v>0.445713898803407</v>
      </c>
      <c r="U42" s="22">
        <f>VLOOKUP($B42,H10_M3,U$3,FALSE)</f>
        <v>-6.1708161714793004</v>
      </c>
      <c r="V42" s="28">
        <f>VLOOKUP($B42,H10_M3,V$3,FALSE)</f>
        <v>0.46499194534452798</v>
      </c>
      <c r="W42" s="22">
        <f>VLOOKUP($B42,H11_M3,W$3,FALSE)</f>
        <v>-0.118231882513638</v>
      </c>
      <c r="X42" s="28">
        <f>VLOOKUP($B42,H11_M3,X$3,FALSE)</f>
        <v>0.85988064303293998</v>
      </c>
      <c r="Y42" s="22">
        <f>VLOOKUP($B42,H12_M3,Y$3,FALSE)</f>
        <v>0</v>
      </c>
      <c r="Z42" s="28">
        <f>VLOOKUP($B42,H12_M3,Z$3,FALSE)</f>
        <v>1</v>
      </c>
      <c r="AA42" s="22">
        <f>VLOOKUP($B42,H13_M3,AA$3,FALSE)</f>
        <v>-4.6467999400024196</v>
      </c>
      <c r="AB42" s="28">
        <f>VLOOKUP($B42,H13_M3,AB$3,FALSE)</f>
        <v>6.1715843250448099E-2</v>
      </c>
      <c r="AD42" s="2" cm="1">
        <f t="array" ref="AD42">SUMPRODUCT((MOD(COLUMN($C42:$AA42),2)=1)*ISNUMBER($C42:$AA42)*($C42:$AA42&lt;&gt;0)*($D42:$AB42&lt;0.05))</f>
        <v>3</v>
      </c>
      <c r="AE42" s="2" cm="1">
        <f t="array" ref="AE42">SUMPRODUCT((MOD(COLUMN($C42:$AA42),2)=1)*ISNUMBER($C42:$AA42)*($C42:$AA42&lt;&gt;0)*($D42:$AB42&gt;=0.05))</f>
        <v>6</v>
      </c>
      <c r="AF42" s="2" cm="1">
        <f t="array" ref="AF42">SUMPRODUCT((MOD(COLUMN($C42:$AA42),2)=1)*ISNUMBER($C42:$AA42)*($C42:$AA42=0))</f>
        <v>4</v>
      </c>
    </row>
    <row r="43" spans="2:32" x14ac:dyDescent="0.2">
      <c r="B43" s="37" t="s">
        <v>82</v>
      </c>
      <c r="C43" s="22">
        <f>VLOOKUP($B43,H01_M3,C$3,FALSE)</f>
        <v>-2.1567170141629299</v>
      </c>
      <c r="D43" s="28">
        <f>VLOOKUP($B43,H01_M3,D$3,FALSE)</f>
        <v>7.2478569247858005E-5</v>
      </c>
      <c r="E43" s="22">
        <f>VLOOKUP($B43,H02_M3,E$3,FALSE)</f>
        <v>-1.0523960627986799</v>
      </c>
      <c r="F43" s="28">
        <f>VLOOKUP($B43,H02_M3,F$3,FALSE)</f>
        <v>3.9313872225763503E-3</v>
      </c>
      <c r="G43" s="22">
        <f>VLOOKUP($B43,H03_M3,G$3,FALSE)</f>
        <v>-0.69540519689590496</v>
      </c>
      <c r="H43" s="28">
        <f>VLOOKUP($B43,H03_M3,H$3,FALSE)</f>
        <v>5.2424519022831097E-4</v>
      </c>
      <c r="I43" s="22">
        <f>VLOOKUP($B43,H04_M3,I$3,FALSE)</f>
        <v>-9.6306159993715994</v>
      </c>
      <c r="J43" s="28">
        <f>VLOOKUP($B43,H04_M3,J$3,FALSE)</f>
        <v>1.72652517227422E-5</v>
      </c>
      <c r="K43" s="22">
        <f>VLOOKUP($B43,H05_M3,K$3,FALSE)</f>
        <v>-0.78079509766133104</v>
      </c>
      <c r="L43" s="28">
        <f>VLOOKUP($B43,H05_M3,L$3,FALSE)</f>
        <v>2.5781620054776602E-4</v>
      </c>
      <c r="M43" s="22">
        <f>VLOOKUP($B43,H06_M3,M$3,FALSE)</f>
        <v>-0.91104390013301695</v>
      </c>
      <c r="N43" s="28">
        <f>VLOOKUP($B43,H06_M3,N$3,FALSE)</f>
        <v>1.81365369751351E-3</v>
      </c>
      <c r="O43" s="22">
        <f>VLOOKUP($B43,H07_M3,O$3,FALSE)</f>
        <v>-5.9062903474814403</v>
      </c>
      <c r="P43" s="28">
        <f>VLOOKUP($B43,H07_M3,P$3,FALSE)</f>
        <v>2.3015631770904699E-2</v>
      </c>
      <c r="Q43" s="22">
        <f>VLOOKUP($B43,H08_M3,Q$3,FALSE)</f>
        <v>-0.24822122126127799</v>
      </c>
      <c r="R43" s="28">
        <f>VLOOKUP($B43,H08_M3,R$3,FALSE)</f>
        <v>3.7020439189652199E-2</v>
      </c>
      <c r="S43" s="22">
        <f>VLOOKUP($B43,H09_M3,S$3,FALSE)</f>
        <v>-0.87606871627246696</v>
      </c>
      <c r="T43" s="28">
        <f>VLOOKUP($B43,H09_M3,T$3,FALSE)</f>
        <v>6.0643229392232101E-4</v>
      </c>
      <c r="U43" s="22">
        <f>VLOOKUP($B43,H10_M3,U$3,FALSE)</f>
        <v>-10.865302391043899</v>
      </c>
      <c r="V43" s="28">
        <f>VLOOKUP($B43,H10_M3,V$3,FALSE)</f>
        <v>1.1825180415940301E-2</v>
      </c>
      <c r="W43" s="22">
        <f>VLOOKUP($B43,H11_M3,W$3,FALSE)</f>
        <v>-0.215216539263062</v>
      </c>
      <c r="X43" s="28">
        <f>VLOOKUP($B43,H11_M3,X$3,FALSE)</f>
        <v>0.10750511811711499</v>
      </c>
      <c r="Y43" s="22">
        <f>VLOOKUP($B43,H12_M3,Y$3,FALSE)</f>
        <v>-3.0781089950912901</v>
      </c>
      <c r="Z43" s="28">
        <f>VLOOKUP($B43,H12_M3,Z$3,FALSE)</f>
        <v>6.1375682520081699E-3</v>
      </c>
      <c r="AA43" s="22">
        <f>VLOOKUP($B43,H13_M3,AA$3,FALSE)</f>
        <v>-5.5098170294103097</v>
      </c>
      <c r="AB43" s="28">
        <f>VLOOKUP($B43,H13_M3,AB$3,FALSE)</f>
        <v>1.13569610475194E-3</v>
      </c>
      <c r="AD43" s="2" cm="1">
        <f t="array" ref="AD43">SUMPRODUCT((MOD(COLUMN($C43:$AA43),2)=1)*ISNUMBER($C43:$AA43)*($C43:$AA43&lt;&gt;0)*($D43:$AB43&lt;0.05))</f>
        <v>12</v>
      </c>
      <c r="AE43" s="2" cm="1">
        <f t="array" ref="AE43">SUMPRODUCT((MOD(COLUMN($C43:$AA43),2)=1)*ISNUMBER($C43:$AA43)*($C43:$AA43&lt;&gt;0)*($D43:$AB43&gt;=0.05))</f>
        <v>1</v>
      </c>
      <c r="AF43" s="2" cm="1">
        <f t="array" ref="AF43">SUMPRODUCT((MOD(COLUMN($C43:$AA43),2)=1)*ISNUMBER($C43:$AA43)*($C43:$AA43=0))</f>
        <v>0</v>
      </c>
    </row>
    <row r="44" spans="2:32" x14ac:dyDescent="0.2">
      <c r="B44" s="37" t="s">
        <v>33</v>
      </c>
      <c r="C44" s="22">
        <f>VLOOKUP($B44,H01_M3,C$3,FALSE)</f>
        <v>2.62758536006154</v>
      </c>
      <c r="D44" s="28">
        <f>VLOOKUP($B44,H01_M3,D$3,FALSE)</f>
        <v>1.10951622918298E-4</v>
      </c>
      <c r="E44" s="22">
        <f>VLOOKUP($B44,H02_M3,E$3,FALSE)</f>
        <v>1.92443465134766</v>
      </c>
      <c r="F44" s="28">
        <f>VLOOKUP($B44,H02_M3,F$3,FALSE)</f>
        <v>2.0254706683500798E-2</v>
      </c>
      <c r="G44" s="22">
        <f>VLOOKUP($B44,H03_M3,G$3,FALSE)</f>
        <v>0.96293206692889</v>
      </c>
      <c r="H44" s="28">
        <f>VLOOKUP($B44,H03_M3,H$3,FALSE)</f>
        <v>0.13753091969987</v>
      </c>
      <c r="I44" s="22">
        <f>VLOOKUP($B44,H04_M3,I$3,FALSE)</f>
        <v>3.91264093797979</v>
      </c>
      <c r="J44" s="28">
        <f>VLOOKUP($B44,H04_M3,J$3,FALSE)</f>
        <v>2.2683658966759999E-4</v>
      </c>
      <c r="K44" s="22">
        <f>VLOOKUP($B44,H05_M3,K$3,FALSE)</f>
        <v>4.9754878993760299E-2</v>
      </c>
      <c r="L44" s="28">
        <f>VLOOKUP($B44,H05_M3,L$3,FALSE)</f>
        <v>0.93592318533293195</v>
      </c>
      <c r="M44" s="22">
        <f>VLOOKUP($B44,H06_M3,M$3,FALSE)</f>
        <v>3.0721082932758201</v>
      </c>
      <c r="N44" s="28">
        <f>VLOOKUP($B44,H06_M3,N$3,FALSE)</f>
        <v>2.6635560483691998E-3</v>
      </c>
      <c r="O44" s="22">
        <f>VLOOKUP($B44,H07_M3,O$3,FALSE)</f>
        <v>3.99017149574644</v>
      </c>
      <c r="P44" s="28">
        <f>VLOOKUP($B44,H07_M3,P$3,FALSE)</f>
        <v>2.73615533369568E-2</v>
      </c>
      <c r="Q44" s="22">
        <f>VLOOKUP($B44,H08_M3,Q$3,FALSE)</f>
        <v>1.1366669695981899</v>
      </c>
      <c r="R44" s="28">
        <f>VLOOKUP($B44,H08_M3,R$3,FALSE)</f>
        <v>0.119681240015023</v>
      </c>
      <c r="S44" s="22">
        <f>VLOOKUP($B44,H09_M3,S$3,FALSE)</f>
        <v>0</v>
      </c>
      <c r="T44" s="28">
        <f>VLOOKUP($B44,H09_M3,T$3,FALSE)</f>
        <v>1</v>
      </c>
      <c r="U44" s="22">
        <f>VLOOKUP($B44,H10_M3,U$3,FALSE)</f>
        <v>4.4860572086944499</v>
      </c>
      <c r="V44" s="28">
        <f>VLOOKUP($B44,H10_M3,V$3,FALSE)</f>
        <v>5.2832722382081199E-2</v>
      </c>
      <c r="W44" s="22">
        <f>VLOOKUP($B44,H11_M3,W$3,FALSE)</f>
        <v>4.6883396009256399</v>
      </c>
      <c r="X44" s="28">
        <f>VLOOKUP($B44,H11_M3,X$3,FALSE)</f>
        <v>1.4155951007948E-3</v>
      </c>
      <c r="Y44" s="22">
        <f>VLOOKUP($B44,H12_M3,Y$3,FALSE)</f>
        <v>0.61426008656226805</v>
      </c>
      <c r="Z44" s="28">
        <f>VLOOKUP($B44,H12_M3,Z$3,FALSE)</f>
        <v>0.64467664149009696</v>
      </c>
      <c r="AA44" s="22">
        <f>VLOOKUP($B44,H13_M3,AA$3,FALSE)</f>
        <v>1.9563268855584299</v>
      </c>
      <c r="AB44" s="28">
        <f>VLOOKUP($B44,H13_M3,AB$3,FALSE)</f>
        <v>8.3142765670150401E-2</v>
      </c>
      <c r="AD44" s="2" cm="1">
        <f t="array" ref="AD44">SUMPRODUCT((MOD(COLUMN($C44:$AA44),2)=1)*ISNUMBER($C44:$AA44)*($C44:$AA44&lt;&gt;0)*($D44:$AB44&lt;0.05))</f>
        <v>6</v>
      </c>
      <c r="AE44" s="2" cm="1">
        <f t="array" ref="AE44">SUMPRODUCT((MOD(COLUMN($C44:$AA44),2)=1)*ISNUMBER($C44:$AA44)*($C44:$AA44&lt;&gt;0)*($D44:$AB44&gt;=0.05))</f>
        <v>6</v>
      </c>
      <c r="AF44" s="2" cm="1">
        <f t="array" ref="AF44">SUMPRODUCT((MOD(COLUMN($C44:$AA44),2)=1)*ISNUMBER($C44:$AA44)*($C44:$AA44=0))</f>
        <v>1</v>
      </c>
    </row>
  </sheetData>
  <mergeCells count="13">
    <mergeCell ref="AA2:AB2"/>
    <mergeCell ref="O2:P2"/>
    <mergeCell ref="Q2:R2"/>
    <mergeCell ref="S2:T2"/>
    <mergeCell ref="U2:V2"/>
    <mergeCell ref="W2:X2"/>
    <mergeCell ref="Y2:Z2"/>
    <mergeCell ref="C2:D2"/>
    <mergeCell ref="E2:F2"/>
    <mergeCell ref="G2:H2"/>
    <mergeCell ref="I2:J2"/>
    <mergeCell ref="K2:L2"/>
    <mergeCell ref="M2:N2"/>
  </mergeCells>
  <phoneticPr fontId="7" type="noConversion"/>
  <conditionalFormatting sqref="C5:L9 O5:R9 U5:AB9">
    <cfRule type="cellIs" dxfId="207" priority="84" operator="equal">
      <formula>0</formula>
    </cfRule>
  </conditionalFormatting>
  <conditionalFormatting sqref="C19:D23">
    <cfRule type="cellIs" dxfId="206" priority="82" operator="equal">
      <formula>0</formula>
    </cfRule>
  </conditionalFormatting>
  <conditionalFormatting sqref="C12:D16">
    <cfRule type="cellIs" dxfId="205" priority="81" operator="equal">
      <formula>0</formula>
    </cfRule>
  </conditionalFormatting>
  <conditionalFormatting sqref="C26:D30">
    <cfRule type="cellIs" dxfId="204" priority="80" operator="equal">
      <formula>0</formula>
    </cfRule>
  </conditionalFormatting>
  <conditionalFormatting sqref="C40:D44">
    <cfRule type="cellIs" dxfId="203" priority="78" operator="equal">
      <formula>0</formula>
    </cfRule>
  </conditionalFormatting>
  <conditionalFormatting sqref="C33:D37">
    <cfRule type="cellIs" dxfId="202" priority="77" operator="equal">
      <formula>0</formula>
    </cfRule>
  </conditionalFormatting>
  <conditionalFormatting sqref="E26:F30">
    <cfRule type="cellIs" dxfId="201" priority="74" operator="equal">
      <formula>0</formula>
    </cfRule>
  </conditionalFormatting>
  <conditionalFormatting sqref="E40:F44">
    <cfRule type="cellIs" dxfId="200" priority="72" operator="equal">
      <formula>0</formula>
    </cfRule>
  </conditionalFormatting>
  <conditionalFormatting sqref="E33:F37">
    <cfRule type="cellIs" dxfId="199" priority="71" operator="equal">
      <formula>0</formula>
    </cfRule>
  </conditionalFormatting>
  <conditionalFormatting sqref="E19:F23">
    <cfRule type="cellIs" dxfId="198" priority="70" operator="equal">
      <formula>0</formula>
    </cfRule>
  </conditionalFormatting>
  <conditionalFormatting sqref="E12:F16">
    <cfRule type="cellIs" dxfId="197" priority="69" operator="equal">
      <formula>0</formula>
    </cfRule>
  </conditionalFormatting>
  <conditionalFormatting sqref="G12:H16">
    <cfRule type="cellIs" dxfId="196" priority="68" operator="equal">
      <formula>0</formula>
    </cfRule>
  </conditionalFormatting>
  <conditionalFormatting sqref="G26:H30">
    <cfRule type="cellIs" dxfId="195" priority="67" operator="equal">
      <formula>0</formula>
    </cfRule>
  </conditionalFormatting>
  <conditionalFormatting sqref="G40:H44">
    <cfRule type="cellIs" dxfId="194" priority="65" operator="equal">
      <formula>0</formula>
    </cfRule>
  </conditionalFormatting>
  <conditionalFormatting sqref="G33:H37">
    <cfRule type="cellIs" dxfId="193" priority="64" operator="equal">
      <formula>0</formula>
    </cfRule>
  </conditionalFormatting>
  <conditionalFormatting sqref="G19:H23">
    <cfRule type="cellIs" dxfId="192" priority="63" operator="equal">
      <formula>0</formula>
    </cfRule>
  </conditionalFormatting>
  <conditionalFormatting sqref="I19:J23">
    <cfRule type="cellIs" dxfId="191" priority="62" operator="equal">
      <formula>0</formula>
    </cfRule>
  </conditionalFormatting>
  <conditionalFormatting sqref="K19:L23">
    <cfRule type="cellIs" dxfId="190" priority="61" operator="equal">
      <formula>0</formula>
    </cfRule>
  </conditionalFormatting>
  <conditionalFormatting sqref="M19:N23">
    <cfRule type="cellIs" dxfId="189" priority="60" operator="equal">
      <formula>0</formula>
    </cfRule>
  </conditionalFormatting>
  <conditionalFormatting sqref="O19:P23">
    <cfRule type="cellIs" dxfId="188" priority="59" operator="equal">
      <formula>0</formula>
    </cfRule>
  </conditionalFormatting>
  <conditionalFormatting sqref="Q19:R23">
    <cfRule type="cellIs" dxfId="187" priority="58" operator="equal">
      <formula>0</formula>
    </cfRule>
  </conditionalFormatting>
  <conditionalFormatting sqref="S19:T23">
    <cfRule type="cellIs" dxfId="186" priority="57" operator="equal">
      <formula>0</formula>
    </cfRule>
  </conditionalFormatting>
  <conditionalFormatting sqref="U19:V23">
    <cfRule type="cellIs" dxfId="185" priority="56" operator="equal">
      <formula>0</formula>
    </cfRule>
  </conditionalFormatting>
  <conditionalFormatting sqref="Y19:Z23">
    <cfRule type="cellIs" dxfId="184" priority="55" operator="equal">
      <formula>0</formula>
    </cfRule>
  </conditionalFormatting>
  <conditionalFormatting sqref="AA19:AB23">
    <cfRule type="cellIs" dxfId="183" priority="54" operator="equal">
      <formula>0</formula>
    </cfRule>
  </conditionalFormatting>
  <conditionalFormatting sqref="I12:J16">
    <cfRule type="cellIs" dxfId="182" priority="53" operator="equal">
      <formula>0</formula>
    </cfRule>
  </conditionalFormatting>
  <conditionalFormatting sqref="I26:J30">
    <cfRule type="cellIs" dxfId="181" priority="52" operator="equal">
      <formula>0</formula>
    </cfRule>
  </conditionalFormatting>
  <conditionalFormatting sqref="I40:J44">
    <cfRule type="cellIs" dxfId="180" priority="50" operator="equal">
      <formula>0</formula>
    </cfRule>
  </conditionalFormatting>
  <conditionalFormatting sqref="I33:J37">
    <cfRule type="cellIs" dxfId="179" priority="49" operator="equal">
      <formula>0</formula>
    </cfRule>
  </conditionalFormatting>
  <conditionalFormatting sqref="K26:L30">
    <cfRule type="cellIs" dxfId="178" priority="47" operator="equal">
      <formula>0</formula>
    </cfRule>
  </conditionalFormatting>
  <conditionalFormatting sqref="K33:L37">
    <cfRule type="cellIs" dxfId="177" priority="46" operator="equal">
      <formula>0</formula>
    </cfRule>
  </conditionalFormatting>
  <conditionalFormatting sqref="K40:L44">
    <cfRule type="cellIs" dxfId="176" priority="45" operator="equal">
      <formula>0</formula>
    </cfRule>
  </conditionalFormatting>
  <conditionalFormatting sqref="K12:L16">
    <cfRule type="cellIs" dxfId="175" priority="44" operator="equal">
      <formula>0</formula>
    </cfRule>
  </conditionalFormatting>
  <conditionalFormatting sqref="M5:N9">
    <cfRule type="cellIs" dxfId="174" priority="43" operator="equal">
      <formula>0</formula>
    </cfRule>
  </conditionalFormatting>
  <conditionalFormatting sqref="M12:N16">
    <cfRule type="cellIs" dxfId="173" priority="42" operator="equal">
      <formula>0</formula>
    </cfRule>
  </conditionalFormatting>
  <conditionalFormatting sqref="S5:T9">
    <cfRule type="cellIs" dxfId="172" priority="41" operator="equal">
      <formula>0</formula>
    </cfRule>
  </conditionalFormatting>
  <conditionalFormatting sqref="Q12:R16">
    <cfRule type="cellIs" dxfId="171" priority="40" operator="equal">
      <formula>0</formula>
    </cfRule>
  </conditionalFormatting>
  <conditionalFormatting sqref="S12:T16">
    <cfRule type="cellIs" dxfId="170" priority="39" operator="equal">
      <formula>0</formula>
    </cfRule>
  </conditionalFormatting>
  <conditionalFormatting sqref="Y12:Z16">
    <cfRule type="cellIs" dxfId="169" priority="38" operator="equal">
      <formula>0</formula>
    </cfRule>
  </conditionalFormatting>
  <conditionalFormatting sqref="AA12:AB16">
    <cfRule type="cellIs" dxfId="168" priority="37" operator="equal">
      <formula>0</formula>
    </cfRule>
  </conditionalFormatting>
  <conditionalFormatting sqref="O12:P16">
    <cfRule type="cellIs" dxfId="167" priority="36" operator="equal">
      <formula>0</formula>
    </cfRule>
  </conditionalFormatting>
  <conditionalFormatting sqref="O26:P30">
    <cfRule type="cellIs" dxfId="166" priority="35" operator="equal">
      <formula>0</formula>
    </cfRule>
  </conditionalFormatting>
  <conditionalFormatting sqref="O40:P44">
    <cfRule type="cellIs" dxfId="165" priority="33" operator="equal">
      <formula>0</formula>
    </cfRule>
  </conditionalFormatting>
  <conditionalFormatting sqref="O33:P37">
    <cfRule type="cellIs" dxfId="164" priority="32" operator="equal">
      <formula>0</formula>
    </cfRule>
  </conditionalFormatting>
  <conditionalFormatting sqref="M26:N30">
    <cfRule type="cellIs" dxfId="163" priority="31" operator="equal">
      <formula>0</formula>
    </cfRule>
  </conditionalFormatting>
  <conditionalFormatting sqref="M40:N44">
    <cfRule type="cellIs" dxfId="162" priority="29" operator="equal">
      <formula>0</formula>
    </cfRule>
  </conditionalFormatting>
  <conditionalFormatting sqref="M33:N37">
    <cfRule type="cellIs" dxfId="161" priority="28" operator="equal">
      <formula>0</formula>
    </cfRule>
  </conditionalFormatting>
  <conditionalFormatting sqref="Q33:R37">
    <cfRule type="cellIs" dxfId="160" priority="26" operator="equal">
      <formula>0</formula>
    </cfRule>
  </conditionalFormatting>
  <conditionalFormatting sqref="Q40:R44">
    <cfRule type="cellIs" dxfId="159" priority="25" operator="equal">
      <formula>0</formula>
    </cfRule>
  </conditionalFormatting>
  <conditionalFormatting sqref="Q26:R30">
    <cfRule type="cellIs" dxfId="158" priority="24" operator="equal">
      <formula>0</formula>
    </cfRule>
  </conditionalFormatting>
  <conditionalFormatting sqref="S26:T30">
    <cfRule type="cellIs" dxfId="157" priority="23" operator="equal">
      <formula>0</formula>
    </cfRule>
  </conditionalFormatting>
  <conditionalFormatting sqref="S40:T44">
    <cfRule type="cellIs" dxfId="156" priority="21" operator="equal">
      <formula>0</formula>
    </cfRule>
  </conditionalFormatting>
  <conditionalFormatting sqref="S33:T37">
    <cfRule type="cellIs" dxfId="155" priority="20" operator="equal">
      <formula>0</formula>
    </cfRule>
  </conditionalFormatting>
  <conditionalFormatting sqref="U12:V16">
    <cfRule type="cellIs" dxfId="154" priority="19" operator="equal">
      <formula>0</formula>
    </cfRule>
  </conditionalFormatting>
  <conditionalFormatting sqref="U26:V30">
    <cfRule type="cellIs" dxfId="153" priority="18" operator="equal">
      <formula>0</formula>
    </cfRule>
  </conditionalFormatting>
  <conditionalFormatting sqref="U33:V37">
    <cfRule type="cellIs" dxfId="152" priority="17" operator="equal">
      <formula>0</formula>
    </cfRule>
  </conditionalFormatting>
  <conditionalFormatting sqref="U40:V44">
    <cfRule type="cellIs" dxfId="151" priority="16" operator="equal">
      <formula>0</formula>
    </cfRule>
  </conditionalFormatting>
  <conditionalFormatting sqref="W12:X16">
    <cfRule type="cellIs" dxfId="150" priority="15" operator="equal">
      <formula>0</formula>
    </cfRule>
  </conditionalFormatting>
  <conditionalFormatting sqref="W19:X23">
    <cfRule type="cellIs" dxfId="149" priority="14" operator="equal">
      <formula>0</formula>
    </cfRule>
  </conditionalFormatting>
  <conditionalFormatting sqref="W26:X30">
    <cfRule type="cellIs" dxfId="148" priority="13" operator="equal">
      <formula>0</formula>
    </cfRule>
  </conditionalFormatting>
  <conditionalFormatting sqref="W40:X44">
    <cfRule type="cellIs" dxfId="147" priority="11" operator="equal">
      <formula>0</formula>
    </cfRule>
  </conditionalFormatting>
  <conditionalFormatting sqref="W33:X37">
    <cfRule type="cellIs" dxfId="146" priority="10" operator="equal">
      <formula>0</formula>
    </cfRule>
  </conditionalFormatting>
  <conditionalFormatting sqref="Y26:Z30">
    <cfRule type="cellIs" dxfId="145" priority="9" operator="equal">
      <formula>0</formula>
    </cfRule>
  </conditionalFormatting>
  <conditionalFormatting sqref="Y33:Z37">
    <cfRule type="cellIs" dxfId="144" priority="8" operator="equal">
      <formula>0</formula>
    </cfRule>
  </conditionalFormatting>
  <conditionalFormatting sqref="Y40:Z44">
    <cfRule type="cellIs" dxfId="143" priority="7" operator="equal">
      <formula>0</formula>
    </cfRule>
  </conditionalFormatting>
  <conditionalFormatting sqref="AA26:AB30">
    <cfRule type="cellIs" dxfId="142" priority="6" operator="equal">
      <formula>0</formula>
    </cfRule>
  </conditionalFormatting>
  <conditionalFormatting sqref="AA40:AB44">
    <cfRule type="cellIs" dxfId="141" priority="4" operator="equal">
      <formula>0</formula>
    </cfRule>
  </conditionalFormatting>
  <conditionalFormatting sqref="AA33:AB37">
    <cfRule type="cellIs" dxfId="140" priority="3" operator="equal">
      <formula>0</formula>
    </cfRule>
  </conditionalFormatting>
  <conditionalFormatting sqref="D2:D44 F2:F44 H2:H44 J2:J44 L2:L44 N2:N44 P2:P44 R2:R44 T2:T44 V2:V44 X2:X44 Z2:Z44 AB2:AB44">
    <cfRule type="cellIs" dxfId="139" priority="2" operator="lessThan">
      <formula>0.05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0393-80B9-B04D-B3FF-1BF245FBA3EF}">
  <sheetPr>
    <tabColor theme="0" tint="-0.14999847407452621"/>
  </sheetPr>
  <dimension ref="B2:AH44"/>
  <sheetViews>
    <sheetView zoomScale="150" zoomScaleNormal="15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" sqref="C2:D2"/>
    </sheetView>
  </sheetViews>
  <sheetFormatPr baseColWidth="10" defaultRowHeight="16" x14ac:dyDescent="0.2"/>
  <cols>
    <col min="1" max="1" width="3.33203125" customWidth="1"/>
    <col min="2" max="2" width="25.33203125" style="2" bestFit="1" customWidth="1"/>
    <col min="3" max="3" width="5.6640625" style="22" bestFit="1" customWidth="1"/>
    <col min="4" max="4" width="13.1640625" style="28" bestFit="1" customWidth="1"/>
    <col min="5" max="5" width="5.6640625" style="22" bestFit="1" customWidth="1"/>
    <col min="6" max="6" width="13.1640625" style="28" bestFit="1" customWidth="1"/>
    <col min="7" max="7" width="5.6640625" style="22" bestFit="1" customWidth="1"/>
    <col min="8" max="8" width="13.1640625" style="28" bestFit="1" customWidth="1"/>
    <col min="9" max="9" width="5.6640625" style="22" bestFit="1" customWidth="1"/>
    <col min="10" max="10" width="13.1640625" style="28" bestFit="1" customWidth="1"/>
    <col min="11" max="11" width="5.6640625" style="22" bestFit="1" customWidth="1"/>
    <col min="12" max="12" width="13.1640625" style="28" bestFit="1" customWidth="1"/>
    <col min="13" max="13" width="5.6640625" style="22" bestFit="1" customWidth="1"/>
    <col min="14" max="14" width="13.1640625" style="28" bestFit="1" customWidth="1"/>
    <col min="15" max="15" width="5.6640625" style="22" bestFit="1" customWidth="1"/>
    <col min="16" max="16" width="13.1640625" style="28" bestFit="1" customWidth="1"/>
    <col min="17" max="17" width="6.33203125" style="22" bestFit="1" customWidth="1"/>
    <col min="18" max="18" width="13.1640625" style="28" bestFit="1" customWidth="1"/>
    <col min="19" max="19" width="5.6640625" style="22" bestFit="1" customWidth="1"/>
    <col min="20" max="20" width="13.1640625" style="28" bestFit="1" customWidth="1"/>
    <col min="21" max="21" width="6.33203125" style="22" bestFit="1" customWidth="1"/>
    <col min="22" max="22" width="13.1640625" style="28" bestFit="1" customWidth="1"/>
    <col min="23" max="23" width="5.6640625" style="22" bestFit="1" customWidth="1"/>
    <col min="24" max="24" width="13.1640625" style="28" bestFit="1" customWidth="1"/>
    <col min="25" max="25" width="5.6640625" style="22" bestFit="1" customWidth="1"/>
    <col min="26" max="26" width="13.1640625" style="28" bestFit="1" customWidth="1"/>
    <col min="27" max="27" width="5.6640625" style="22" bestFit="1" customWidth="1"/>
    <col min="28" max="28" width="13.1640625" style="28" bestFit="1" customWidth="1"/>
    <col min="29" max="29" width="3.33203125" customWidth="1"/>
    <col min="30" max="32" width="10.83203125" style="2"/>
  </cols>
  <sheetData>
    <row r="2" spans="2:34" x14ac:dyDescent="0.2">
      <c r="C2" s="38" t="s">
        <v>4</v>
      </c>
      <c r="D2" s="38"/>
      <c r="E2" s="38" t="s">
        <v>8</v>
      </c>
      <c r="F2" s="38"/>
      <c r="G2" s="38" t="s">
        <v>9</v>
      </c>
      <c r="H2" s="38"/>
      <c r="I2" s="38" t="s">
        <v>10</v>
      </c>
      <c r="J2" s="38"/>
      <c r="K2" s="38" t="s">
        <v>12</v>
      </c>
      <c r="L2" s="38"/>
      <c r="M2" s="38" t="s">
        <v>13</v>
      </c>
      <c r="N2" s="38"/>
      <c r="O2" s="38" t="s">
        <v>14</v>
      </c>
      <c r="P2" s="38"/>
      <c r="Q2" s="38" t="s">
        <v>15</v>
      </c>
      <c r="R2" s="38"/>
      <c r="S2" s="38" t="s">
        <v>16</v>
      </c>
      <c r="T2" s="38"/>
      <c r="U2" s="38" t="s">
        <v>17</v>
      </c>
      <c r="V2" s="38"/>
      <c r="W2" s="38" t="s">
        <v>18</v>
      </c>
      <c r="X2" s="38"/>
      <c r="Y2" s="38" t="s">
        <v>20</v>
      </c>
      <c r="Z2" s="38"/>
      <c r="AA2" s="38" t="s">
        <v>21</v>
      </c>
      <c r="AB2" s="38"/>
    </row>
    <row r="3" spans="2:34" x14ac:dyDescent="0.2">
      <c r="C3" s="40">
        <v>2</v>
      </c>
      <c r="D3" s="40">
        <v>5</v>
      </c>
      <c r="E3" s="40">
        <v>2</v>
      </c>
      <c r="F3" s="40">
        <v>5</v>
      </c>
      <c r="G3" s="40">
        <v>2</v>
      </c>
      <c r="H3" s="40">
        <v>5</v>
      </c>
      <c r="I3" s="40">
        <v>2</v>
      </c>
      <c r="J3" s="40">
        <v>5</v>
      </c>
      <c r="K3" s="40">
        <v>2</v>
      </c>
      <c r="L3" s="40">
        <v>5</v>
      </c>
      <c r="M3" s="40">
        <v>2</v>
      </c>
      <c r="N3" s="40">
        <v>5</v>
      </c>
      <c r="O3" s="40">
        <v>2</v>
      </c>
      <c r="P3" s="40">
        <v>5</v>
      </c>
      <c r="Q3" s="40">
        <v>2</v>
      </c>
      <c r="R3" s="40">
        <v>5</v>
      </c>
      <c r="S3" s="40">
        <v>2</v>
      </c>
      <c r="T3" s="40">
        <v>5</v>
      </c>
      <c r="U3" s="40">
        <v>2</v>
      </c>
      <c r="V3" s="40">
        <v>5</v>
      </c>
      <c r="W3" s="40">
        <v>2</v>
      </c>
      <c r="X3" s="40">
        <v>5</v>
      </c>
      <c r="Y3" s="40">
        <v>2</v>
      </c>
      <c r="Z3" s="40">
        <v>5</v>
      </c>
      <c r="AA3" s="40">
        <v>2</v>
      </c>
      <c r="AB3" s="40">
        <v>5</v>
      </c>
    </row>
    <row r="4" spans="2:34" x14ac:dyDescent="0.2">
      <c r="B4" s="36" t="s">
        <v>0</v>
      </c>
      <c r="C4" s="22" t="s">
        <v>23</v>
      </c>
      <c r="D4" s="39" t="s">
        <v>26</v>
      </c>
      <c r="E4" s="22" t="s">
        <v>23</v>
      </c>
      <c r="F4" s="39" t="s">
        <v>26</v>
      </c>
      <c r="G4" s="22" t="s">
        <v>23</v>
      </c>
      <c r="H4" s="39" t="s">
        <v>26</v>
      </c>
      <c r="I4" s="22" t="s">
        <v>23</v>
      </c>
      <c r="J4" s="39" t="s">
        <v>26</v>
      </c>
      <c r="K4" s="22" t="s">
        <v>23</v>
      </c>
      <c r="L4" s="39" t="s">
        <v>26</v>
      </c>
      <c r="M4" s="22" t="s">
        <v>23</v>
      </c>
      <c r="N4" s="39" t="s">
        <v>26</v>
      </c>
      <c r="O4" s="22" t="s">
        <v>23</v>
      </c>
      <c r="P4" s="39" t="s">
        <v>26</v>
      </c>
      <c r="Q4" s="22" t="s">
        <v>23</v>
      </c>
      <c r="R4" s="39" t="s">
        <v>26</v>
      </c>
      <c r="S4" s="22" t="s">
        <v>23</v>
      </c>
      <c r="T4" s="39" t="s">
        <v>26</v>
      </c>
      <c r="U4" s="22" t="s">
        <v>23</v>
      </c>
      <c r="V4" s="39" t="s">
        <v>26</v>
      </c>
      <c r="W4" s="22" t="s">
        <v>23</v>
      </c>
      <c r="X4" s="39" t="s">
        <v>26</v>
      </c>
      <c r="Y4" s="22" t="s">
        <v>23</v>
      </c>
      <c r="Z4" s="39" t="s">
        <v>26</v>
      </c>
      <c r="AA4" s="22" t="s">
        <v>23</v>
      </c>
      <c r="AB4" s="39" t="s">
        <v>26</v>
      </c>
      <c r="AD4" s="11" t="s">
        <v>99</v>
      </c>
      <c r="AE4" s="11" t="s">
        <v>100</v>
      </c>
      <c r="AF4" s="11" t="s">
        <v>101</v>
      </c>
      <c r="AG4" s="11" t="s">
        <v>102</v>
      </c>
      <c r="AH4" s="2"/>
    </row>
    <row r="5" spans="2:34" x14ac:dyDescent="0.2">
      <c r="B5" s="5" t="s">
        <v>64</v>
      </c>
      <c r="C5" s="41"/>
      <c r="D5" s="42"/>
      <c r="E5" s="41"/>
      <c r="F5" s="42"/>
      <c r="G5" s="22">
        <f>VLOOKUP($B5,H03_M3,G$3,FALSE)</f>
        <v>-1.87691803000265</v>
      </c>
      <c r="H5" s="28">
        <f>VLOOKUP($B5,H03_M3,H$3,FALSE)</f>
        <v>3.9658353074239497E-2</v>
      </c>
      <c r="I5" s="41"/>
      <c r="J5" s="42"/>
      <c r="K5" s="22">
        <f>VLOOKUP($B5,H05_M3,K$3,FALSE)</f>
        <v>-1.74016984252698</v>
      </c>
      <c r="L5" s="28">
        <f>VLOOKUP($B5,H05_M3,L$3,FALSE)</f>
        <v>2.4671686329469299E-6</v>
      </c>
      <c r="M5" s="22" t="s">
        <v>48</v>
      </c>
      <c r="N5" s="28" t="s">
        <v>48</v>
      </c>
      <c r="O5" s="41"/>
      <c r="P5" s="42"/>
      <c r="Q5" s="41"/>
      <c r="R5" s="42"/>
      <c r="S5" s="22" t="s">
        <v>48</v>
      </c>
      <c r="T5" s="28" t="s">
        <v>48</v>
      </c>
      <c r="U5" s="41"/>
      <c r="V5" s="42"/>
      <c r="W5" s="41"/>
      <c r="X5" s="42"/>
      <c r="Y5" s="22">
        <f>VLOOKUP($B5,H12_M3,Y$3,FALSE)</f>
        <v>-0.77299743785977404</v>
      </c>
      <c r="Z5" s="28">
        <f>VLOOKUP($B5,H12_M3,Z$3,FALSE)</f>
        <v>4.9388746791189299E-2</v>
      </c>
      <c r="AA5" s="41"/>
      <c r="AB5" s="42"/>
      <c r="AD5" s="22">
        <f>AVERAGE(C5,E5,G5,I5,K5,M5,O5,Q5,S5,U5,W5,Y5,AA5,C12,E12,G12,I12,K12,M12,O12,Q12,S12,U12,W12,Y12,AA12,C19,E19,G19,I19,K19,M19,O19,Q19,S19,U19,W19,Y19,AA19)</f>
        <v>-1.4633617701298014</v>
      </c>
      <c r="AE5" s="22">
        <f>_xlfn.STDEV.S(C5,E5,G5,I5,K5,M5,O5,Q5,S5,U5,W5,Y5,AA5,C12,E12,G12,I12,K12,M12,O12,Q12,S12,U12,W12,Y12,AA12,C19,E19,G19,I19,K19,M19,O19,Q19,S19,U19,W19,Y19,AA19)</f>
        <v>0.60177005587470922</v>
      </c>
      <c r="AF5" s="22">
        <f>MIN(C5,E5,G5,I5,K5,M5,O5,Q5,S5,U5,W5,Y5,AA5,C12,E12,G12,I12,K12,M12,O12,Q12,S12,U12,W12,Y12,AA12,C19,E19,G19,I19,K19,M19,O19,Q19,S19,U19,W19,Y19,AA19)</f>
        <v>-1.87691803000265</v>
      </c>
      <c r="AG5" s="27">
        <f>MAX(C5,E5,G5,I5,K5,M5,O5,Q5,S5,U5,W5,Y5,AA5,C12,E12,G12,I12,K12,M12,O12,Q12,S12,U12,W12,Y12,AA12,C19,E19,G19,I19,K19,M19,O19,Q19,S19,U19,W19,Y19,AA19)</f>
        <v>-0.77299743785977404</v>
      </c>
      <c r="AH5" s="27"/>
    </row>
    <row r="6" spans="2:34" x14ac:dyDescent="0.2">
      <c r="B6" s="5" t="s">
        <v>66</v>
      </c>
      <c r="C6" s="41"/>
      <c r="D6" s="42"/>
      <c r="E6" s="41"/>
      <c r="F6" s="42"/>
      <c r="G6" s="22">
        <f>VLOOKUP($B6,H03_M3,G$3,FALSE)</f>
        <v>-2.6092109680336399</v>
      </c>
      <c r="H6" s="28">
        <f>VLOOKUP($B6,H03_M3,H$3,FALSE)</f>
        <v>2.1462249039094701E-5</v>
      </c>
      <c r="I6" s="22">
        <f>VLOOKUP($B6,H04_M3,I$3,FALSE)</f>
        <v>-0.58342662791454303</v>
      </c>
      <c r="J6" s="28">
        <f>VLOOKUP($B6,H04_M3,J$3,FALSE)</f>
        <v>3.4779155568558803E-2</v>
      </c>
      <c r="K6" s="22">
        <f>VLOOKUP($B6,H05_M3,K$3,FALSE)</f>
        <v>-2.0128973543227699</v>
      </c>
      <c r="L6" s="28">
        <f>VLOOKUP($B6,H05_M3,L$3,FALSE)</f>
        <v>3.6990236310430103E-5</v>
      </c>
      <c r="M6" s="22" t="s">
        <v>48</v>
      </c>
      <c r="N6" s="28" t="s">
        <v>48</v>
      </c>
      <c r="O6" s="41"/>
      <c r="P6" s="42"/>
      <c r="Q6" s="41"/>
      <c r="R6" s="42"/>
      <c r="S6" s="22" t="s">
        <v>48</v>
      </c>
      <c r="T6" s="28" t="s">
        <v>48</v>
      </c>
      <c r="U6" s="41"/>
      <c r="V6" s="42"/>
      <c r="W6" s="41"/>
      <c r="X6" s="42"/>
      <c r="Y6" s="41"/>
      <c r="Z6" s="42"/>
      <c r="AA6" s="41"/>
      <c r="AB6" s="42"/>
      <c r="AD6" s="22">
        <f t="shared" ref="AD6:AD9" si="0">AVERAGE(C6,E6,G6,I6,K6,M6,O6,Q6,S6,U6,W6,Y6,AA6,C13,E13,G13,I13,K13,M13,O13,Q13,S13,U13,W13,Y13,AA13,C20,E20,G20,I20,K20,M20,O20,Q20,S20,U20,W20,Y20,AA20)</f>
        <v>-1.7351783167569843</v>
      </c>
      <c r="AE6" s="22">
        <f t="shared" ref="AE6:AE9" si="1">_xlfn.STDEV.S(C6,E6,G6,I6,K6,M6,O6,Q6,S6,U6,W6,Y6,AA6,C13,E13,G13,I13,K13,M13,O13,Q13,S13,U13,W13,Y13,AA13,C20,E20,G20,I20,K20,M20,O20,Q20,S20,U20,W20,Y20,AA20)</f>
        <v>1.0410554481091732</v>
      </c>
      <c r="AF6" s="22">
        <f t="shared" ref="AF6:AF9" si="2">MIN(C6,E6,G6,I6,K6,M6,O6,Q6,S6,U6,W6,Y6,AA6,C13,E13,G13,I13,K13,M13,O13,Q13,S13,U13,W13,Y13,AA13,C20,E20,G20,I20,K20,M20,O20,Q20,S20,U20,W20,Y20,AA20)</f>
        <v>-2.6092109680336399</v>
      </c>
      <c r="AG6" s="27">
        <f t="shared" ref="AG6:AG9" si="3">MAX(C6,E6,G6,I6,K6,M6,O6,Q6,S6,U6,W6,Y6,AA6,C13,E13,G13,I13,K13,M13,O13,Q13,S13,U13,W13,Y13,AA13,C20,E20,G20,I20,K20,M20,O20,Q20,S20,U20,W20,Y20,AA20)</f>
        <v>-0.58342662791454303</v>
      </c>
      <c r="AH6" s="27"/>
    </row>
    <row r="7" spans="2:34" x14ac:dyDescent="0.2">
      <c r="B7" s="5" t="s">
        <v>68</v>
      </c>
      <c r="C7" s="41"/>
      <c r="D7" s="42"/>
      <c r="E7" s="41"/>
      <c r="F7" s="42"/>
      <c r="G7" s="41"/>
      <c r="H7" s="42"/>
      <c r="I7" s="41"/>
      <c r="J7" s="42"/>
      <c r="K7" s="41"/>
      <c r="L7" s="42"/>
      <c r="M7" s="22" t="s">
        <v>48</v>
      </c>
      <c r="N7" s="28" t="s">
        <v>48</v>
      </c>
      <c r="O7" s="41"/>
      <c r="P7" s="42"/>
      <c r="Q7" s="22">
        <f>VLOOKUP($B7,H08_M3,Q$3,FALSE)</f>
        <v>-18.4633354878479</v>
      </c>
      <c r="R7" s="28">
        <f>VLOOKUP($B7,H08_M3,R$3,FALSE)</f>
        <v>5.6933489509438601E-3</v>
      </c>
      <c r="S7" s="22" t="s">
        <v>48</v>
      </c>
      <c r="T7" s="28" t="s">
        <v>48</v>
      </c>
      <c r="U7" s="41"/>
      <c r="V7" s="42"/>
      <c r="W7" s="41"/>
      <c r="X7" s="42"/>
      <c r="Y7" s="41"/>
      <c r="Z7" s="42"/>
      <c r="AA7" s="41"/>
      <c r="AB7" s="42"/>
      <c r="AD7" s="22">
        <f t="shared" si="0"/>
        <v>-9.4657458744028791</v>
      </c>
      <c r="AE7" s="22">
        <f t="shared" si="1"/>
        <v>12.724513260001242</v>
      </c>
      <c r="AF7" s="22">
        <f t="shared" si="2"/>
        <v>-18.4633354878479</v>
      </c>
      <c r="AG7" s="27">
        <f t="shared" si="3"/>
        <v>-0.46815626095785701</v>
      </c>
      <c r="AH7" s="27"/>
    </row>
    <row r="8" spans="2:34" x14ac:dyDescent="0.2">
      <c r="B8" s="5" t="s">
        <v>70</v>
      </c>
      <c r="C8" s="41"/>
      <c r="D8" s="42"/>
      <c r="E8" s="22">
        <f>VLOOKUP($B8,H02_M3,E$3,FALSE)</f>
        <v>-0.55010210716980801</v>
      </c>
      <c r="F8" s="28">
        <f>VLOOKUP($B8,H02_M3,F$3,FALSE)</f>
        <v>1.4825266540792099E-3</v>
      </c>
      <c r="G8" s="41"/>
      <c r="H8" s="42"/>
      <c r="I8" s="22">
        <f>VLOOKUP($B8,H04_M3,I$3,FALSE)</f>
        <v>-1.0562492699712001</v>
      </c>
      <c r="J8" s="28">
        <f>VLOOKUP($B8,H04_M3,J$3,FALSE)</f>
        <v>3.8603831006622699E-4</v>
      </c>
      <c r="K8" s="41"/>
      <c r="L8" s="42"/>
      <c r="M8" s="22" t="s">
        <v>48</v>
      </c>
      <c r="N8" s="28" t="s">
        <v>48</v>
      </c>
      <c r="O8" s="41"/>
      <c r="P8" s="42"/>
      <c r="Q8" s="22">
        <f>VLOOKUP($B8,H08_M3,Q$3,FALSE)</f>
        <v>-1.1406047089028599</v>
      </c>
      <c r="R8" s="28">
        <f>VLOOKUP($B8,H08_M3,R$3,FALSE)</f>
        <v>2.3834161850810802E-6</v>
      </c>
      <c r="S8" s="22" t="s">
        <v>48</v>
      </c>
      <c r="T8" s="28" t="s">
        <v>48</v>
      </c>
      <c r="U8" s="41"/>
      <c r="V8" s="42"/>
      <c r="W8" s="41"/>
      <c r="X8" s="42"/>
      <c r="Y8" s="22">
        <f>VLOOKUP($B8,H12_M3,Y$3,FALSE)</f>
        <v>-1.81359573705801</v>
      </c>
      <c r="Z8" s="28">
        <f>VLOOKUP($B8,H12_M3,Z$3,FALSE)</f>
        <v>1.46354409551774E-3</v>
      </c>
      <c r="AA8" s="22">
        <f>VLOOKUP($B8,H13_M3,AA$3,FALSE)</f>
        <v>-0.78543023127401301</v>
      </c>
      <c r="AB8" s="28">
        <f>VLOOKUP($B8,H13_M3,AB$3,FALSE)</f>
        <v>2.61575154531845E-4</v>
      </c>
      <c r="AD8" s="22">
        <f t="shared" si="0"/>
        <v>-1.3252257820427606</v>
      </c>
      <c r="AE8" s="22">
        <f t="shared" si="1"/>
        <v>0.90836416805851405</v>
      </c>
      <c r="AF8" s="22">
        <f t="shared" si="2"/>
        <v>-3.16826020662507</v>
      </c>
      <c r="AG8" s="27">
        <f t="shared" si="3"/>
        <v>-0.55010210716980801</v>
      </c>
      <c r="AH8" s="27"/>
    </row>
    <row r="9" spans="2:34" x14ac:dyDescent="0.2">
      <c r="B9" s="5" t="s">
        <v>28</v>
      </c>
      <c r="C9" s="41"/>
      <c r="D9" s="42"/>
      <c r="E9" s="41"/>
      <c r="F9" s="42"/>
      <c r="G9" s="41"/>
      <c r="H9" s="42"/>
      <c r="I9" s="22">
        <f>VLOOKUP($B9,H04_M3,I$3,FALSE)</f>
        <v>1.680734804718</v>
      </c>
      <c r="J9" s="28">
        <f>VLOOKUP($B9,H04_M3,J$3,FALSE)</f>
        <v>1.8458198842979199E-2</v>
      </c>
      <c r="K9" s="22">
        <f>VLOOKUP($B9,H05_M3,K$3,FALSE)</f>
        <v>2.2963612140715499</v>
      </c>
      <c r="L9" s="28">
        <f>VLOOKUP($B9,H05_M3,L$3,FALSE)</f>
        <v>1.5183694962082399E-2</v>
      </c>
      <c r="M9" s="22" t="s">
        <v>48</v>
      </c>
      <c r="N9" s="28" t="s">
        <v>48</v>
      </c>
      <c r="O9" s="22">
        <f>VLOOKUP($B9,H07_M3,O$3,FALSE)</f>
        <v>1.81942749705249</v>
      </c>
      <c r="P9" s="28">
        <f>VLOOKUP($B9,H07_M3,P$3,FALSE)</f>
        <v>3.4948566650417602E-2</v>
      </c>
      <c r="Q9" s="41"/>
      <c r="R9" s="42"/>
      <c r="S9" s="22" t="s">
        <v>48</v>
      </c>
      <c r="T9" s="28" t="s">
        <v>48</v>
      </c>
      <c r="U9" s="41"/>
      <c r="V9" s="42"/>
      <c r="W9" s="41"/>
      <c r="X9" s="42"/>
      <c r="Y9" s="41"/>
      <c r="Z9" s="42"/>
      <c r="AA9" s="41"/>
      <c r="AB9" s="42"/>
      <c r="AD9" s="22">
        <f t="shared" si="0"/>
        <v>2.2442712235547218</v>
      </c>
      <c r="AE9" s="22">
        <f t="shared" si="1"/>
        <v>0.48488113162893764</v>
      </c>
      <c r="AF9" s="22">
        <f t="shared" si="2"/>
        <v>1.680734804718</v>
      </c>
      <c r="AG9" s="27">
        <f t="shared" si="3"/>
        <v>2.7383041921019098</v>
      </c>
      <c r="AH9" s="27"/>
    </row>
    <row r="10" spans="2:34" x14ac:dyDescent="0.2">
      <c r="C10" s="40">
        <v>2</v>
      </c>
      <c r="D10" s="40">
        <v>5</v>
      </c>
      <c r="E10" s="40">
        <v>2</v>
      </c>
      <c r="F10" s="40">
        <v>5</v>
      </c>
      <c r="G10" s="40">
        <v>2</v>
      </c>
      <c r="H10" s="40">
        <v>5</v>
      </c>
      <c r="I10" s="40">
        <v>2</v>
      </c>
      <c r="J10" s="40">
        <v>5</v>
      </c>
      <c r="K10" s="40">
        <v>2</v>
      </c>
      <c r="L10" s="40">
        <v>5</v>
      </c>
      <c r="M10" s="40">
        <v>2</v>
      </c>
      <c r="N10" s="40">
        <v>5</v>
      </c>
      <c r="O10" s="40">
        <v>2</v>
      </c>
      <c r="P10" s="40">
        <v>5</v>
      </c>
      <c r="Q10" s="40">
        <v>2</v>
      </c>
      <c r="R10" s="40">
        <v>5</v>
      </c>
      <c r="S10" s="40">
        <v>2</v>
      </c>
      <c r="T10" s="40">
        <v>5</v>
      </c>
      <c r="U10" s="40">
        <v>2</v>
      </c>
      <c r="V10" s="40">
        <v>5</v>
      </c>
      <c r="W10" s="40">
        <v>2</v>
      </c>
      <c r="X10" s="40">
        <v>5</v>
      </c>
      <c r="Y10" s="40">
        <v>2</v>
      </c>
      <c r="Z10" s="40">
        <v>5</v>
      </c>
      <c r="AA10" s="40">
        <v>2</v>
      </c>
      <c r="AB10" s="40">
        <v>5</v>
      </c>
    </row>
    <row r="11" spans="2:34" x14ac:dyDescent="0.2">
      <c r="B11" s="36" t="s">
        <v>1</v>
      </c>
      <c r="C11" s="22" t="s">
        <v>23</v>
      </c>
      <c r="D11" s="39" t="s">
        <v>26</v>
      </c>
      <c r="E11" s="22" t="s">
        <v>23</v>
      </c>
      <c r="F11" s="39" t="s">
        <v>26</v>
      </c>
      <c r="G11" s="22" t="s">
        <v>23</v>
      </c>
      <c r="H11" s="39" t="s">
        <v>26</v>
      </c>
      <c r="I11" s="22" t="s">
        <v>23</v>
      </c>
      <c r="J11" s="39" t="s">
        <v>26</v>
      </c>
      <c r="K11" s="22" t="s">
        <v>23</v>
      </c>
      <c r="L11" s="39" t="s">
        <v>26</v>
      </c>
      <c r="M11" s="22" t="s">
        <v>23</v>
      </c>
      <c r="N11" s="39" t="s">
        <v>26</v>
      </c>
      <c r="O11" s="22" t="s">
        <v>23</v>
      </c>
      <c r="P11" s="39" t="s">
        <v>26</v>
      </c>
      <c r="Q11" s="22" t="s">
        <v>23</v>
      </c>
      <c r="R11" s="39" t="s">
        <v>26</v>
      </c>
      <c r="S11" s="22" t="s">
        <v>23</v>
      </c>
      <c r="T11" s="39" t="s">
        <v>26</v>
      </c>
      <c r="U11" s="22" t="s">
        <v>23</v>
      </c>
      <c r="V11" s="39" t="s">
        <v>26</v>
      </c>
      <c r="W11" s="22" t="s">
        <v>23</v>
      </c>
      <c r="X11" s="39" t="s">
        <v>26</v>
      </c>
      <c r="Y11" s="22" t="s">
        <v>23</v>
      </c>
      <c r="Z11" s="39" t="s">
        <v>26</v>
      </c>
      <c r="AA11" s="22" t="s">
        <v>23</v>
      </c>
      <c r="AB11" s="39" t="s">
        <v>26</v>
      </c>
    </row>
    <row r="12" spans="2:34" x14ac:dyDescent="0.2">
      <c r="B12" s="5" t="s">
        <v>71</v>
      </c>
      <c r="C12" s="41"/>
      <c r="D12" s="42"/>
      <c r="E12" s="22" t="s">
        <v>48</v>
      </c>
      <c r="F12" s="28" t="s">
        <v>48</v>
      </c>
      <c r="G12" s="41"/>
      <c r="H12" s="42"/>
      <c r="I12" s="41"/>
      <c r="J12" s="42"/>
      <c r="K12" s="22" t="s">
        <v>48</v>
      </c>
      <c r="L12" s="28" t="s">
        <v>48</v>
      </c>
      <c r="M12" s="22" t="s">
        <v>48</v>
      </c>
      <c r="N12" s="28" t="s">
        <v>48</v>
      </c>
      <c r="O12" s="41"/>
      <c r="P12" s="42"/>
      <c r="Q12" s="22" t="s">
        <v>48</v>
      </c>
      <c r="R12" s="28" t="s">
        <v>48</v>
      </c>
      <c r="S12" s="22" t="s">
        <v>48</v>
      </c>
      <c r="T12" s="28" t="s">
        <v>48</v>
      </c>
      <c r="U12" s="41"/>
      <c r="V12" s="42"/>
      <c r="W12" s="41"/>
      <c r="X12" s="42"/>
      <c r="Y12" s="22" t="s">
        <v>48</v>
      </c>
      <c r="Z12" s="28" t="s">
        <v>48</v>
      </c>
      <c r="AA12" s="22" t="s">
        <v>48</v>
      </c>
      <c r="AB12" s="28" t="s">
        <v>48</v>
      </c>
    </row>
    <row r="13" spans="2:34" x14ac:dyDescent="0.2">
      <c r="B13" s="5" t="s">
        <v>73</v>
      </c>
      <c r="C13" s="41"/>
      <c r="D13" s="42"/>
      <c r="E13" s="22" t="s">
        <v>48</v>
      </c>
      <c r="F13" s="28" t="s">
        <v>48</v>
      </c>
      <c r="G13" s="41"/>
      <c r="H13" s="42"/>
      <c r="I13" s="41"/>
      <c r="J13" s="42"/>
      <c r="K13" s="22" t="s">
        <v>48</v>
      </c>
      <c r="L13" s="28" t="s">
        <v>48</v>
      </c>
      <c r="M13" s="22" t="s">
        <v>48</v>
      </c>
      <c r="N13" s="28" t="s">
        <v>48</v>
      </c>
      <c r="O13" s="41"/>
      <c r="P13" s="42"/>
      <c r="Q13" s="22" t="s">
        <v>48</v>
      </c>
      <c r="R13" s="28" t="s">
        <v>48</v>
      </c>
      <c r="S13" s="22" t="s">
        <v>48</v>
      </c>
      <c r="T13" s="28" t="s">
        <v>48</v>
      </c>
      <c r="U13" s="41"/>
      <c r="V13" s="42"/>
      <c r="W13" s="41"/>
      <c r="X13" s="42"/>
      <c r="Y13" s="22" t="s">
        <v>48</v>
      </c>
      <c r="Z13" s="28" t="s">
        <v>48</v>
      </c>
      <c r="AA13" s="22" t="s">
        <v>48</v>
      </c>
      <c r="AB13" s="28" t="s">
        <v>48</v>
      </c>
    </row>
    <row r="14" spans="2:34" x14ac:dyDescent="0.2">
      <c r="B14" s="5" t="s">
        <v>75</v>
      </c>
      <c r="C14" s="41"/>
      <c r="D14" s="42"/>
      <c r="E14" s="22" t="s">
        <v>48</v>
      </c>
      <c r="F14" s="28" t="s">
        <v>48</v>
      </c>
      <c r="G14" s="41"/>
      <c r="H14" s="42"/>
      <c r="I14" s="22">
        <f>VLOOKUP($B14,H04_M3,I$3,FALSE)</f>
        <v>-0.46815626095785701</v>
      </c>
      <c r="J14" s="28">
        <f>VLOOKUP($B14,H04_M3,J$3,FALSE)</f>
        <v>4.1816567812486799E-2</v>
      </c>
      <c r="K14" s="22" t="s">
        <v>48</v>
      </c>
      <c r="L14" s="28" t="s">
        <v>48</v>
      </c>
      <c r="M14" s="22" t="s">
        <v>48</v>
      </c>
      <c r="N14" s="28" t="s">
        <v>48</v>
      </c>
      <c r="O14" s="41"/>
      <c r="P14" s="42"/>
      <c r="Q14" s="22" t="s">
        <v>48</v>
      </c>
      <c r="R14" s="28" t="s">
        <v>48</v>
      </c>
      <c r="S14" s="22" t="s">
        <v>48</v>
      </c>
      <c r="T14" s="28" t="s">
        <v>48</v>
      </c>
      <c r="U14" s="41"/>
      <c r="V14" s="42"/>
      <c r="W14" s="41"/>
      <c r="X14" s="42"/>
      <c r="Y14" s="22" t="s">
        <v>48</v>
      </c>
      <c r="Z14" s="28" t="s">
        <v>48</v>
      </c>
      <c r="AA14" s="22" t="s">
        <v>48</v>
      </c>
      <c r="AB14" s="28" t="s">
        <v>48</v>
      </c>
    </row>
    <row r="15" spans="2:34" x14ac:dyDescent="0.2">
      <c r="B15" s="5" t="s">
        <v>77</v>
      </c>
      <c r="C15" s="41"/>
      <c r="D15" s="42"/>
      <c r="E15" s="22" t="s">
        <v>48</v>
      </c>
      <c r="F15" s="28" t="s">
        <v>48</v>
      </c>
      <c r="G15" s="22">
        <f>VLOOKUP($B15,H03_M3,G$3,FALSE)</f>
        <v>-0.76233821329836304</v>
      </c>
      <c r="H15" s="28">
        <f>VLOOKUP($B15,H03_M3,H$3,FALSE)</f>
        <v>1.061261167834E-8</v>
      </c>
      <c r="I15" s="41"/>
      <c r="J15" s="42"/>
      <c r="K15" s="22" t="s">
        <v>48</v>
      </c>
      <c r="L15" s="28" t="s">
        <v>48</v>
      </c>
      <c r="M15" s="22" t="s">
        <v>48</v>
      </c>
      <c r="N15" s="28" t="s">
        <v>48</v>
      </c>
      <c r="O15" s="22">
        <f>VLOOKUP($B15,H07_M3,O$3,FALSE)</f>
        <v>-3.16826020662507</v>
      </c>
      <c r="P15" s="28">
        <f>VLOOKUP($B15,H07_M3,P$3,FALSE)</f>
        <v>6.5945652395971101E-4</v>
      </c>
      <c r="Q15" s="22" t="s">
        <v>48</v>
      </c>
      <c r="R15" s="28" t="s">
        <v>48</v>
      </c>
      <c r="S15" s="22" t="s">
        <v>48</v>
      </c>
      <c r="T15" s="28" t="s">
        <v>48</v>
      </c>
      <c r="U15" s="41"/>
      <c r="V15" s="42"/>
      <c r="W15" s="41"/>
      <c r="X15" s="42"/>
      <c r="Y15" s="22" t="s">
        <v>48</v>
      </c>
      <c r="Z15" s="28" t="s">
        <v>48</v>
      </c>
      <c r="AA15" s="22" t="s">
        <v>48</v>
      </c>
      <c r="AB15" s="28" t="s">
        <v>48</v>
      </c>
    </row>
    <row r="16" spans="2:34" x14ac:dyDescent="0.2">
      <c r="B16" s="5" t="s">
        <v>31</v>
      </c>
      <c r="C16" s="41"/>
      <c r="D16" s="42"/>
      <c r="E16" s="22" t="s">
        <v>48</v>
      </c>
      <c r="F16" s="28" t="s">
        <v>48</v>
      </c>
      <c r="G16" s="41"/>
      <c r="H16" s="42"/>
      <c r="I16" s="41"/>
      <c r="J16" s="42"/>
      <c r="K16" s="22" t="s">
        <v>48</v>
      </c>
      <c r="L16" s="28" t="s">
        <v>48</v>
      </c>
      <c r="M16" s="22" t="s">
        <v>48</v>
      </c>
      <c r="N16" s="28" t="s">
        <v>48</v>
      </c>
      <c r="O16" s="22">
        <f>VLOOKUP($B16,H07_M3,O$3,FALSE)</f>
        <v>2.68652840982966</v>
      </c>
      <c r="P16" s="28">
        <f>VLOOKUP($B16,H07_M3,P$3,FALSE)</f>
        <v>6.2861224731776098E-3</v>
      </c>
      <c r="Q16" s="22" t="s">
        <v>48</v>
      </c>
      <c r="R16" s="28" t="s">
        <v>48</v>
      </c>
      <c r="S16" s="22" t="s">
        <v>48</v>
      </c>
      <c r="T16" s="28" t="s">
        <v>48</v>
      </c>
      <c r="U16" s="41"/>
      <c r="V16" s="42"/>
      <c r="W16" s="22">
        <f>VLOOKUP($B16,H11_M3,W$3,FALSE)</f>
        <v>2.7383041921019098</v>
      </c>
      <c r="X16" s="28">
        <f>VLOOKUP($B16,H11_M3,X$3,FALSE)</f>
        <v>1.4669533783334E-2</v>
      </c>
      <c r="Y16" s="22" t="s">
        <v>48</v>
      </c>
      <c r="Z16" s="28" t="s">
        <v>48</v>
      </c>
      <c r="AA16" s="22" t="s">
        <v>48</v>
      </c>
      <c r="AB16" s="28" t="s">
        <v>48</v>
      </c>
    </row>
    <row r="17" spans="2:33" x14ac:dyDescent="0.2">
      <c r="C17" s="40">
        <v>2</v>
      </c>
      <c r="D17" s="40">
        <v>5</v>
      </c>
      <c r="E17" s="40">
        <v>2</v>
      </c>
      <c r="F17" s="40">
        <v>5</v>
      </c>
      <c r="G17" s="40">
        <v>2</v>
      </c>
      <c r="H17" s="40">
        <v>5</v>
      </c>
      <c r="I17" s="40">
        <v>2</v>
      </c>
      <c r="J17" s="40">
        <v>5</v>
      </c>
      <c r="K17" s="40">
        <v>2</v>
      </c>
      <c r="L17" s="40">
        <v>5</v>
      </c>
      <c r="M17" s="40">
        <v>2</v>
      </c>
      <c r="N17" s="40">
        <v>5</v>
      </c>
      <c r="O17" s="40">
        <v>2</v>
      </c>
      <c r="P17" s="40">
        <v>5</v>
      </c>
      <c r="Q17" s="40">
        <v>2</v>
      </c>
      <c r="R17" s="40">
        <v>5</v>
      </c>
      <c r="S17" s="40">
        <v>2</v>
      </c>
      <c r="T17" s="40">
        <v>5</v>
      </c>
      <c r="U17" s="40">
        <v>2</v>
      </c>
      <c r="V17" s="40">
        <v>5</v>
      </c>
      <c r="W17" s="40">
        <v>2</v>
      </c>
      <c r="X17" s="40">
        <v>5</v>
      </c>
      <c r="Y17" s="40">
        <v>2</v>
      </c>
      <c r="Z17" s="40">
        <v>5</v>
      </c>
      <c r="AA17" s="40">
        <v>2</v>
      </c>
      <c r="AB17" s="40">
        <v>5</v>
      </c>
    </row>
    <row r="18" spans="2:33" x14ac:dyDescent="0.2">
      <c r="B18" s="36" t="s">
        <v>19</v>
      </c>
      <c r="C18" s="22" t="s">
        <v>23</v>
      </c>
      <c r="D18" s="39" t="s">
        <v>26</v>
      </c>
      <c r="E18" s="22" t="s">
        <v>23</v>
      </c>
      <c r="F18" s="39" t="s">
        <v>26</v>
      </c>
      <c r="G18" s="22" t="s">
        <v>23</v>
      </c>
      <c r="H18" s="39" t="s">
        <v>26</v>
      </c>
      <c r="I18" s="22" t="s">
        <v>23</v>
      </c>
      <c r="J18" s="39" t="s">
        <v>26</v>
      </c>
      <c r="K18" s="22" t="s">
        <v>23</v>
      </c>
      <c r="L18" s="39" t="s">
        <v>26</v>
      </c>
      <c r="M18" s="22" t="s">
        <v>23</v>
      </c>
      <c r="N18" s="39" t="s">
        <v>26</v>
      </c>
      <c r="O18" s="22" t="s">
        <v>23</v>
      </c>
      <c r="P18" s="39" t="s">
        <v>26</v>
      </c>
      <c r="Q18" s="22" t="s">
        <v>23</v>
      </c>
      <c r="R18" s="39" t="s">
        <v>26</v>
      </c>
      <c r="S18" s="22" t="s">
        <v>23</v>
      </c>
      <c r="T18" s="39" t="s">
        <v>26</v>
      </c>
      <c r="U18" s="22" t="s">
        <v>23</v>
      </c>
      <c r="V18" s="39" t="s">
        <v>26</v>
      </c>
      <c r="W18" s="22" t="s">
        <v>23</v>
      </c>
      <c r="X18" s="39" t="s">
        <v>26</v>
      </c>
      <c r="Y18" s="22" t="s">
        <v>23</v>
      </c>
      <c r="Z18" s="39" t="s">
        <v>26</v>
      </c>
      <c r="AA18" s="22" t="s">
        <v>23</v>
      </c>
      <c r="AB18" s="39" t="s">
        <v>26</v>
      </c>
    </row>
    <row r="19" spans="2:33" x14ac:dyDescent="0.2">
      <c r="B19" s="5" t="s">
        <v>87</v>
      </c>
      <c r="C19" s="22" t="s">
        <v>48</v>
      </c>
      <c r="D19" s="28" t="s">
        <v>48</v>
      </c>
      <c r="E19" s="22" t="s">
        <v>48</v>
      </c>
      <c r="F19" s="28" t="s">
        <v>48</v>
      </c>
      <c r="G19" s="22" t="s">
        <v>48</v>
      </c>
      <c r="H19" s="28" t="s">
        <v>48</v>
      </c>
      <c r="I19" s="22" t="s">
        <v>48</v>
      </c>
      <c r="J19" s="28" t="s">
        <v>48</v>
      </c>
      <c r="K19" s="22" t="s">
        <v>48</v>
      </c>
      <c r="L19" s="28" t="s">
        <v>48</v>
      </c>
      <c r="M19" s="22" t="s">
        <v>48</v>
      </c>
      <c r="N19" s="28" t="s">
        <v>48</v>
      </c>
      <c r="O19" s="22" t="s">
        <v>48</v>
      </c>
      <c r="P19" s="28" t="s">
        <v>48</v>
      </c>
      <c r="Q19" s="22" t="s">
        <v>48</v>
      </c>
      <c r="R19" s="28" t="s">
        <v>48</v>
      </c>
      <c r="S19" s="22" t="s">
        <v>48</v>
      </c>
      <c r="T19" s="28" t="s">
        <v>48</v>
      </c>
      <c r="U19" s="22" t="s">
        <v>48</v>
      </c>
      <c r="V19" s="28" t="s">
        <v>48</v>
      </c>
      <c r="W19" s="41"/>
      <c r="X19" s="42"/>
      <c r="Y19" s="22" t="s">
        <v>48</v>
      </c>
      <c r="Z19" s="28" t="s">
        <v>48</v>
      </c>
      <c r="AA19" s="22" t="s">
        <v>48</v>
      </c>
      <c r="AB19" s="28" t="s">
        <v>48</v>
      </c>
    </row>
    <row r="20" spans="2:33" x14ac:dyDescent="0.2">
      <c r="B20" s="5" t="s">
        <v>88</v>
      </c>
      <c r="C20" s="22" t="s">
        <v>48</v>
      </c>
      <c r="D20" s="28" t="s">
        <v>48</v>
      </c>
      <c r="E20" s="22" t="s">
        <v>48</v>
      </c>
      <c r="F20" s="28" t="s">
        <v>48</v>
      </c>
      <c r="G20" s="22" t="s">
        <v>48</v>
      </c>
      <c r="H20" s="28" t="s">
        <v>48</v>
      </c>
      <c r="I20" s="22" t="s">
        <v>48</v>
      </c>
      <c r="J20" s="28" t="s">
        <v>48</v>
      </c>
      <c r="K20" s="22" t="s">
        <v>48</v>
      </c>
      <c r="L20" s="28" t="s">
        <v>48</v>
      </c>
      <c r="M20" s="22" t="s">
        <v>48</v>
      </c>
      <c r="N20" s="28" t="s">
        <v>48</v>
      </c>
      <c r="O20" s="22" t="s">
        <v>48</v>
      </c>
      <c r="P20" s="28" t="s">
        <v>48</v>
      </c>
      <c r="Q20" s="22" t="s">
        <v>48</v>
      </c>
      <c r="R20" s="28" t="s">
        <v>48</v>
      </c>
      <c r="S20" s="22" t="s">
        <v>48</v>
      </c>
      <c r="T20" s="28" t="s">
        <v>48</v>
      </c>
      <c r="U20" s="22" t="s">
        <v>48</v>
      </c>
      <c r="V20" s="28" t="s">
        <v>48</v>
      </c>
      <c r="W20" s="41"/>
      <c r="X20" s="42"/>
      <c r="Y20" s="22" t="s">
        <v>48</v>
      </c>
      <c r="Z20" s="28" t="s">
        <v>48</v>
      </c>
      <c r="AA20" s="22" t="s">
        <v>48</v>
      </c>
      <c r="AB20" s="28" t="s">
        <v>48</v>
      </c>
    </row>
    <row r="21" spans="2:33" x14ac:dyDescent="0.2">
      <c r="B21" s="5" t="s">
        <v>89</v>
      </c>
      <c r="C21" s="22" t="s">
        <v>48</v>
      </c>
      <c r="D21" s="28" t="s">
        <v>48</v>
      </c>
      <c r="E21" s="22" t="s">
        <v>48</v>
      </c>
      <c r="F21" s="28" t="s">
        <v>48</v>
      </c>
      <c r="G21" s="22" t="s">
        <v>48</v>
      </c>
      <c r="H21" s="28" t="s">
        <v>48</v>
      </c>
      <c r="I21" s="22" t="s">
        <v>48</v>
      </c>
      <c r="J21" s="28" t="s">
        <v>48</v>
      </c>
      <c r="K21" s="22" t="s">
        <v>48</v>
      </c>
      <c r="L21" s="28" t="s">
        <v>48</v>
      </c>
      <c r="M21" s="22" t="s">
        <v>48</v>
      </c>
      <c r="N21" s="28" t="s">
        <v>48</v>
      </c>
      <c r="O21" s="22" t="s">
        <v>48</v>
      </c>
      <c r="P21" s="28" t="s">
        <v>48</v>
      </c>
      <c r="Q21" s="22" t="s">
        <v>48</v>
      </c>
      <c r="R21" s="28" t="s">
        <v>48</v>
      </c>
      <c r="S21" s="22" t="s">
        <v>48</v>
      </c>
      <c r="T21" s="28" t="s">
        <v>48</v>
      </c>
      <c r="U21" s="22" t="s">
        <v>48</v>
      </c>
      <c r="V21" s="28" t="s">
        <v>48</v>
      </c>
      <c r="W21" s="41"/>
      <c r="X21" s="42"/>
      <c r="Y21" s="22" t="s">
        <v>48</v>
      </c>
      <c r="Z21" s="28" t="s">
        <v>48</v>
      </c>
      <c r="AA21" s="22" t="s">
        <v>48</v>
      </c>
      <c r="AB21" s="28" t="s">
        <v>48</v>
      </c>
    </row>
    <row r="22" spans="2:33" x14ac:dyDescent="0.2">
      <c r="B22" s="5" t="s">
        <v>90</v>
      </c>
      <c r="C22" s="22" t="s">
        <v>48</v>
      </c>
      <c r="D22" s="28" t="s">
        <v>48</v>
      </c>
      <c r="E22" s="22" t="s">
        <v>48</v>
      </c>
      <c r="F22" s="28" t="s">
        <v>48</v>
      </c>
      <c r="G22" s="22" t="s">
        <v>48</v>
      </c>
      <c r="H22" s="28" t="s">
        <v>48</v>
      </c>
      <c r="I22" s="22" t="s">
        <v>48</v>
      </c>
      <c r="J22" s="28" t="s">
        <v>48</v>
      </c>
      <c r="K22" s="22" t="s">
        <v>48</v>
      </c>
      <c r="L22" s="28" t="s">
        <v>48</v>
      </c>
      <c r="M22" s="22" t="s">
        <v>48</v>
      </c>
      <c r="N22" s="28" t="s">
        <v>48</v>
      </c>
      <c r="O22" s="22" t="s">
        <v>48</v>
      </c>
      <c r="P22" s="28" t="s">
        <v>48</v>
      </c>
      <c r="Q22" s="22" t="s">
        <v>48</v>
      </c>
      <c r="R22" s="28" t="s">
        <v>48</v>
      </c>
      <c r="S22" s="22" t="s">
        <v>48</v>
      </c>
      <c r="T22" s="28" t="s">
        <v>48</v>
      </c>
      <c r="U22" s="22" t="s">
        <v>48</v>
      </c>
      <c r="V22" s="28" t="s">
        <v>48</v>
      </c>
      <c r="W22" s="41"/>
      <c r="X22" s="42"/>
      <c r="Y22" s="22" t="s">
        <v>48</v>
      </c>
      <c r="Z22" s="28" t="s">
        <v>48</v>
      </c>
      <c r="AA22" s="22" t="s">
        <v>48</v>
      </c>
      <c r="AB22" s="28" t="s">
        <v>48</v>
      </c>
    </row>
    <row r="23" spans="2:33" x14ac:dyDescent="0.2">
      <c r="B23" s="5" t="s">
        <v>49</v>
      </c>
      <c r="C23" s="22" t="s">
        <v>48</v>
      </c>
      <c r="D23" s="28" t="s">
        <v>48</v>
      </c>
      <c r="E23" s="22" t="s">
        <v>48</v>
      </c>
      <c r="F23" s="28" t="s">
        <v>48</v>
      </c>
      <c r="G23" s="22" t="s">
        <v>48</v>
      </c>
      <c r="H23" s="28" t="s">
        <v>48</v>
      </c>
      <c r="I23" s="22" t="s">
        <v>48</v>
      </c>
      <c r="J23" s="28" t="s">
        <v>48</v>
      </c>
      <c r="K23" s="22" t="s">
        <v>48</v>
      </c>
      <c r="L23" s="28" t="s">
        <v>48</v>
      </c>
      <c r="M23" s="22" t="s">
        <v>48</v>
      </c>
      <c r="N23" s="28" t="s">
        <v>48</v>
      </c>
      <c r="O23" s="22" t="s">
        <v>48</v>
      </c>
      <c r="P23" s="28" t="s">
        <v>48</v>
      </c>
      <c r="Q23" s="22" t="s">
        <v>48</v>
      </c>
      <c r="R23" s="28" t="s">
        <v>48</v>
      </c>
      <c r="S23" s="22" t="s">
        <v>48</v>
      </c>
      <c r="T23" s="28" t="s">
        <v>48</v>
      </c>
      <c r="U23" s="22" t="s">
        <v>48</v>
      </c>
      <c r="V23" s="28" t="s">
        <v>48</v>
      </c>
      <c r="W23" s="41"/>
      <c r="X23" s="42"/>
      <c r="Y23" s="22" t="s">
        <v>48</v>
      </c>
      <c r="Z23" s="28" t="s">
        <v>48</v>
      </c>
      <c r="AA23" s="22" t="s">
        <v>48</v>
      </c>
      <c r="AB23" s="28" t="s">
        <v>48</v>
      </c>
    </row>
    <row r="24" spans="2:33" x14ac:dyDescent="0.2">
      <c r="C24" s="40">
        <v>2</v>
      </c>
      <c r="D24" s="40">
        <v>5</v>
      </c>
      <c r="E24" s="40">
        <v>2</v>
      </c>
      <c r="F24" s="40">
        <v>5</v>
      </c>
      <c r="G24" s="40">
        <v>2</v>
      </c>
      <c r="H24" s="40">
        <v>5</v>
      </c>
      <c r="I24" s="40">
        <v>2</v>
      </c>
      <c r="J24" s="40">
        <v>5</v>
      </c>
      <c r="K24" s="40">
        <v>2</v>
      </c>
      <c r="L24" s="40">
        <v>5</v>
      </c>
      <c r="M24" s="40">
        <v>2</v>
      </c>
      <c r="N24" s="40">
        <v>5</v>
      </c>
      <c r="O24" s="40">
        <v>2</v>
      </c>
      <c r="P24" s="40">
        <v>5</v>
      </c>
      <c r="Q24" s="40">
        <v>2</v>
      </c>
      <c r="R24" s="40">
        <v>5</v>
      </c>
      <c r="S24" s="40">
        <v>2</v>
      </c>
      <c r="T24" s="40">
        <v>5</v>
      </c>
      <c r="U24" s="40">
        <v>2</v>
      </c>
      <c r="V24" s="40">
        <v>5</v>
      </c>
      <c r="W24" s="40">
        <v>2</v>
      </c>
      <c r="X24" s="40">
        <v>5</v>
      </c>
      <c r="Y24" s="40">
        <v>2</v>
      </c>
      <c r="Z24" s="40">
        <v>5</v>
      </c>
      <c r="AA24" s="40">
        <v>2</v>
      </c>
      <c r="AB24" s="40">
        <v>5</v>
      </c>
    </row>
    <row r="25" spans="2:33" x14ac:dyDescent="0.2">
      <c r="B25" s="36" t="s">
        <v>2</v>
      </c>
      <c r="C25" s="22" t="s">
        <v>23</v>
      </c>
      <c r="D25" s="39" t="s">
        <v>26</v>
      </c>
      <c r="E25" s="22" t="s">
        <v>23</v>
      </c>
      <c r="F25" s="39" t="s">
        <v>26</v>
      </c>
      <c r="G25" s="22" t="s">
        <v>23</v>
      </c>
      <c r="H25" s="39" t="s">
        <v>26</v>
      </c>
      <c r="I25" s="22" t="s">
        <v>23</v>
      </c>
      <c r="J25" s="39" t="s">
        <v>26</v>
      </c>
      <c r="K25" s="22" t="s">
        <v>23</v>
      </c>
      <c r="L25" s="39" t="s">
        <v>26</v>
      </c>
      <c r="M25" s="22" t="s">
        <v>23</v>
      </c>
      <c r="N25" s="39" t="s">
        <v>26</v>
      </c>
      <c r="O25" s="22" t="s">
        <v>23</v>
      </c>
      <c r="P25" s="39" t="s">
        <v>26</v>
      </c>
      <c r="Q25" s="22" t="s">
        <v>23</v>
      </c>
      <c r="R25" s="39" t="s">
        <v>26</v>
      </c>
      <c r="S25" s="22" t="s">
        <v>23</v>
      </c>
      <c r="T25" s="39" t="s">
        <v>26</v>
      </c>
      <c r="U25" s="22" t="s">
        <v>23</v>
      </c>
      <c r="V25" s="39" t="s">
        <v>26</v>
      </c>
      <c r="W25" s="22" t="s">
        <v>23</v>
      </c>
      <c r="X25" s="39" t="s">
        <v>26</v>
      </c>
      <c r="Y25" s="22" t="s">
        <v>23</v>
      </c>
      <c r="Z25" s="39" t="s">
        <v>26</v>
      </c>
      <c r="AA25" s="22" t="s">
        <v>23</v>
      </c>
      <c r="AB25" s="39" t="s">
        <v>26</v>
      </c>
      <c r="AD25" s="11" t="s">
        <v>99</v>
      </c>
      <c r="AE25" s="11" t="s">
        <v>100</v>
      </c>
      <c r="AF25" s="11" t="s">
        <v>101</v>
      </c>
      <c r="AG25" s="11" t="s">
        <v>102</v>
      </c>
    </row>
    <row r="26" spans="2:33" x14ac:dyDescent="0.2">
      <c r="B26" s="5" t="s">
        <v>72</v>
      </c>
      <c r="C26" s="41"/>
      <c r="D26" s="42"/>
      <c r="E26" s="41"/>
      <c r="F26" s="42"/>
      <c r="G26" s="41"/>
      <c r="H26" s="42"/>
      <c r="I26" s="41"/>
      <c r="J26" s="42"/>
      <c r="K26" s="41"/>
      <c r="L26" s="42"/>
      <c r="M26" s="41"/>
      <c r="N26" s="42"/>
      <c r="O26" s="22">
        <f>VLOOKUP($B26,H07_M3,O$3,FALSE)</f>
        <v>-2.6795116738958402</v>
      </c>
      <c r="P26" s="28">
        <f>VLOOKUP($B26,H07_M3,P$3,FALSE)</f>
        <v>2.3269479825651601E-3</v>
      </c>
      <c r="Q26" s="22" t="s">
        <v>48</v>
      </c>
      <c r="R26" s="28" t="s">
        <v>48</v>
      </c>
      <c r="S26" s="41"/>
      <c r="T26" s="42"/>
      <c r="U26" s="41"/>
      <c r="V26" s="42"/>
      <c r="W26" s="41"/>
      <c r="X26" s="42"/>
      <c r="Y26" s="41"/>
      <c r="Z26" s="42"/>
      <c r="AA26" s="41"/>
      <c r="AB26" s="42"/>
      <c r="AD26" s="22">
        <f>AVERAGE(C26,E26,G26,I26,K26,M26,O26,Q26,S26,U26,W26,Y26,AA26)</f>
        <v>-2.6795116738958402</v>
      </c>
      <c r="AE26" s="22" t="s">
        <v>48</v>
      </c>
      <c r="AF26" s="22" t="s">
        <v>48</v>
      </c>
      <c r="AG26" s="22" t="s">
        <v>48</v>
      </c>
    </row>
    <row r="27" spans="2:33" x14ac:dyDescent="0.2">
      <c r="B27" s="5" t="s">
        <v>74</v>
      </c>
      <c r="C27" s="22">
        <f>VLOOKUP($B27,H01_M3,C$3,FALSE)</f>
        <v>-0.85857077556598504</v>
      </c>
      <c r="D27" s="28">
        <f>VLOOKUP($B27,H01_M3,D$3,FALSE)</f>
        <v>9.4303019171348899E-8</v>
      </c>
      <c r="E27" s="41"/>
      <c r="F27" s="42"/>
      <c r="G27" s="22">
        <f>VLOOKUP($B27,H03_M3,G$3,FALSE)</f>
        <v>-0.758337750691361</v>
      </c>
      <c r="H27" s="28">
        <f>VLOOKUP($B27,H03_M3,H$3,FALSE)</f>
        <v>3.36878607454238E-7</v>
      </c>
      <c r="I27" s="22">
        <f>VLOOKUP($B27,H04_M3,I$3,FALSE)</f>
        <v>-0.81557962262830996</v>
      </c>
      <c r="J27" s="28">
        <f>VLOOKUP($B27,H04_M3,J$3,FALSE)</f>
        <v>3.1107802119020301E-2</v>
      </c>
      <c r="K27" s="41"/>
      <c r="L27" s="42"/>
      <c r="M27" s="22">
        <f>VLOOKUP($B27,H06_M3,M$3,FALSE)</f>
        <v>-0.59153616204836501</v>
      </c>
      <c r="N27" s="28">
        <f>VLOOKUP($B27,H06_M3,N$3,FALSE)</f>
        <v>2.5952680351719298E-2</v>
      </c>
      <c r="O27" s="22">
        <f>VLOOKUP($B27,H07_M3,O$3,FALSE)</f>
        <v>-2.73855614652624</v>
      </c>
      <c r="P27" s="28">
        <f>VLOOKUP($B27,H07_M3,P$3,FALSE)</f>
        <v>1.7962760730871801E-4</v>
      </c>
      <c r="Q27" s="22" t="s">
        <v>48</v>
      </c>
      <c r="R27" s="28" t="s">
        <v>48</v>
      </c>
      <c r="S27" s="22">
        <f>VLOOKUP($B27,H09_M3,S$3,FALSE)</f>
        <v>-0.43307939958212799</v>
      </c>
      <c r="T27" s="28">
        <f>VLOOKUP($B27,H09_M3,T$3,FALSE)</f>
        <v>4.37485693065413E-2</v>
      </c>
      <c r="U27" s="41"/>
      <c r="V27" s="42"/>
      <c r="W27" s="41"/>
      <c r="X27" s="42"/>
      <c r="Y27" s="41"/>
      <c r="Z27" s="42"/>
      <c r="AA27" s="41"/>
      <c r="AB27" s="42"/>
      <c r="AD27" s="22">
        <f t="shared" ref="AD27:AD30" si="4">AVERAGE(C27,E27,G27,I27,K27,M27,O27,Q27,S27,U27,W27,Y27,AA27)</f>
        <v>-1.0326099761737315</v>
      </c>
      <c r="AE27" s="22">
        <f t="shared" ref="AE27:AE30" si="5">_xlfn.STDEV.S(C27,E27,G27,I27,K27,M27,O27,Q27,S27,U27,W27,Y27,AA27)</f>
        <v>0.85051189636536395</v>
      </c>
      <c r="AF27" s="22">
        <f t="shared" ref="AF27:AF30" si="6">MIN(C27,E27,G27,I27,K27,M27,O27,Q27,S27,U27,W27,Y27,AA27)</f>
        <v>-2.73855614652624</v>
      </c>
      <c r="AG27" s="27">
        <f t="shared" ref="AG27:AG30" si="7">MAX(C27,E27,G27,I27,K27,M27,O27,Q27,S27,U27,W27,Y27,AA27)</f>
        <v>-0.43307939958212799</v>
      </c>
    </row>
    <row r="28" spans="2:33" x14ac:dyDescent="0.2">
      <c r="B28" s="5" t="s">
        <v>76</v>
      </c>
      <c r="C28" s="41"/>
      <c r="D28" s="42"/>
      <c r="E28" s="41"/>
      <c r="F28" s="42"/>
      <c r="G28" s="41"/>
      <c r="H28" s="42"/>
      <c r="I28" s="41"/>
      <c r="J28" s="42"/>
      <c r="K28" s="41"/>
      <c r="L28" s="42"/>
      <c r="M28" s="41"/>
      <c r="N28" s="42"/>
      <c r="O28" s="41"/>
      <c r="P28" s="42"/>
      <c r="Q28" s="22" t="s">
        <v>48</v>
      </c>
      <c r="R28" s="28" t="s">
        <v>48</v>
      </c>
      <c r="S28" s="41"/>
      <c r="T28" s="42"/>
      <c r="U28" s="41"/>
      <c r="V28" s="42"/>
      <c r="W28" s="41"/>
      <c r="X28" s="42"/>
      <c r="Y28" s="41"/>
      <c r="Z28" s="42"/>
      <c r="AA28" s="41"/>
      <c r="AB28" s="42"/>
      <c r="AD28" s="22" t="s">
        <v>48</v>
      </c>
      <c r="AE28" s="22" t="s">
        <v>48</v>
      </c>
      <c r="AF28" s="22" t="s">
        <v>48</v>
      </c>
      <c r="AG28" s="22" t="s">
        <v>48</v>
      </c>
    </row>
    <row r="29" spans="2:33" x14ac:dyDescent="0.2">
      <c r="B29" s="5" t="s">
        <v>78</v>
      </c>
      <c r="C29" s="22">
        <f>VLOOKUP($B29,H01_M3,C$3,FALSE)</f>
        <v>-2.5389181409588999</v>
      </c>
      <c r="D29" s="28">
        <f>VLOOKUP($B29,H01_M3,D$3,FALSE)</f>
        <v>7.3315798028161701E-6</v>
      </c>
      <c r="E29" s="22">
        <f>VLOOKUP($B29,H02_M3,E$3,FALSE)</f>
        <v>-5.0594420393049697</v>
      </c>
      <c r="F29" s="28">
        <f>VLOOKUP($B29,H02_M3,F$3,FALSE)</f>
        <v>3.1658791774105098E-3</v>
      </c>
      <c r="G29" s="22">
        <f>VLOOKUP($B29,H03_M3,G$3,FALSE)</f>
        <v>-6.0817115816309704</v>
      </c>
      <c r="H29" s="28">
        <f>VLOOKUP($B29,H03_M3,H$3,FALSE)</f>
        <v>6.3554717044666996E-11</v>
      </c>
      <c r="I29" s="22">
        <f>VLOOKUP($B29,H04_M3,I$3,FALSE)</f>
        <v>-5.8662636732879401</v>
      </c>
      <c r="J29" s="28">
        <f>VLOOKUP($B29,H04_M3,J$3,FALSE)</f>
        <v>2.4462120594752599E-3</v>
      </c>
      <c r="K29" s="22">
        <f>VLOOKUP($B29,H05_M3,K$3,FALSE)</f>
        <v>-1.1011289833175</v>
      </c>
      <c r="L29" s="28">
        <f>VLOOKUP($B29,H05_M3,L$3,FALSE)</f>
        <v>1.01898392168564E-7</v>
      </c>
      <c r="M29" s="22">
        <f>VLOOKUP($B29,H06_M3,M$3,FALSE)</f>
        <v>-6.22952985837646</v>
      </c>
      <c r="N29" s="28">
        <f>VLOOKUP($B29,H06_M3,N$3,FALSE)</f>
        <v>5.1981852811078196E-6</v>
      </c>
      <c r="O29" s="41"/>
      <c r="P29" s="42"/>
      <c r="Q29" s="22" t="s">
        <v>48</v>
      </c>
      <c r="R29" s="28" t="s">
        <v>48</v>
      </c>
      <c r="S29" s="22">
        <f>VLOOKUP($B29,H09_M3,S$3,FALSE)</f>
        <v>-5.4818218340651201</v>
      </c>
      <c r="T29" s="28">
        <f>VLOOKUP($B29,H09_M3,T$3,FALSE)</f>
        <v>4.1638865688753396E-9</v>
      </c>
      <c r="U29" s="22">
        <f>VLOOKUP($B29,H10_M3,U$3,FALSE)</f>
        <v>-8.8817913857181807</v>
      </c>
      <c r="V29" s="28">
        <f>VLOOKUP($B29,H10_M3,V$3,FALSE)</f>
        <v>3.8285725514489E-2</v>
      </c>
      <c r="W29" s="22">
        <f>VLOOKUP($B29,H11_M3,W$3,FALSE)</f>
        <v>-2.82933269891114</v>
      </c>
      <c r="X29" s="28">
        <f>VLOOKUP($B29,H11_M3,X$3,FALSE)</f>
        <v>9.77705066277367E-4</v>
      </c>
      <c r="Y29" s="41"/>
      <c r="Z29" s="42"/>
      <c r="AA29" s="22">
        <f>VLOOKUP($B29,H13_M3,AA$3,FALSE)</f>
        <v>-2.4717754294000698</v>
      </c>
      <c r="AB29" s="28">
        <f>VLOOKUP($B29,H13_M3,AB$3,FALSE)</f>
        <v>4.4726553920515499E-6</v>
      </c>
      <c r="AD29" s="22">
        <f t="shared" si="4"/>
        <v>-4.6541715624971243</v>
      </c>
      <c r="AE29" s="22">
        <f t="shared" si="5"/>
        <v>2.3547141468259292</v>
      </c>
      <c r="AF29" s="22">
        <f t="shared" si="6"/>
        <v>-8.8817913857181807</v>
      </c>
      <c r="AG29" s="27">
        <f t="shared" si="7"/>
        <v>-1.1011289833175</v>
      </c>
    </row>
    <row r="30" spans="2:33" x14ac:dyDescent="0.2">
      <c r="B30" s="5" t="s">
        <v>32</v>
      </c>
      <c r="C30" s="22">
        <f>VLOOKUP($B30,H01_M3,C$3,FALSE)</f>
        <v>4.6107669830465303</v>
      </c>
      <c r="D30" s="28">
        <f>VLOOKUP($B30,H01_M3,D$3,FALSE)</f>
        <v>0</v>
      </c>
      <c r="E30" s="22">
        <f>VLOOKUP($B30,H02_M3,E$3,FALSE)</f>
        <v>4.4627240759408098</v>
      </c>
      <c r="F30" s="28">
        <f>VLOOKUP($B30,H02_M3,F$3,FALSE)</f>
        <v>3.0356482761062499E-5</v>
      </c>
      <c r="G30" s="22">
        <f>VLOOKUP($B30,H03_M3,G$3,FALSE)</f>
        <v>6.2937399188780301</v>
      </c>
      <c r="H30" s="28">
        <f>VLOOKUP($B30,H03_M3,H$3,FALSE)</f>
        <v>0</v>
      </c>
      <c r="I30" s="22">
        <f>VLOOKUP($B30,H04_M3,I$3,FALSE)</f>
        <v>2.9610235994138301</v>
      </c>
      <c r="J30" s="28">
        <f>VLOOKUP($B30,H04_M3,J$3,FALSE)</f>
        <v>9.8551136524305206E-4</v>
      </c>
      <c r="K30" s="22">
        <f>VLOOKUP($B30,H05_M3,K$3,FALSE)</f>
        <v>2.4289487809137298</v>
      </c>
      <c r="L30" s="28">
        <f>VLOOKUP($B30,H05_M3,L$3,FALSE)</f>
        <v>5.9975754190810797E-5</v>
      </c>
      <c r="M30" s="22">
        <f>VLOOKUP($B30,H06_M3,M$3,FALSE)</f>
        <v>5.7318173401710801</v>
      </c>
      <c r="N30" s="28">
        <f>VLOOKUP($B30,H06_M3,N$3,FALSE)</f>
        <v>1.02726620543336E-8</v>
      </c>
      <c r="O30" s="22">
        <f>VLOOKUP($B30,H07_M3,O$3,FALSE)</f>
        <v>6.5504320311489099</v>
      </c>
      <c r="P30" s="28">
        <f>VLOOKUP($B30,H07_M3,P$3,FALSE)</f>
        <v>6.4552506360060396E-5</v>
      </c>
      <c r="Q30" s="22" t="s">
        <v>48</v>
      </c>
      <c r="R30" s="28" t="s">
        <v>48</v>
      </c>
      <c r="S30" s="22">
        <f>VLOOKUP($B30,H09_M3,S$3,FALSE)</f>
        <v>4.0615761360536098</v>
      </c>
      <c r="T30" s="28">
        <f>VLOOKUP($B30,H09_M3,T$3,FALSE)</f>
        <v>6.9466277508034503E-6</v>
      </c>
      <c r="U30" s="22">
        <f>VLOOKUP($B30,H10_M3,U$3,FALSE)</f>
        <v>6.7729202526884702</v>
      </c>
      <c r="V30" s="28">
        <f>VLOOKUP($B30,H10_M3,V$3,FALSE)</f>
        <v>1.67728943999323E-3</v>
      </c>
      <c r="W30" s="22">
        <f>VLOOKUP($B30,H11_M3,W$3,FALSE)</f>
        <v>6.8987478362916796</v>
      </c>
      <c r="X30" s="28">
        <f>VLOOKUP($B30,H11_M3,X$3,FALSE)</f>
        <v>4.3054804872433201E-6</v>
      </c>
      <c r="Y30" s="41"/>
      <c r="Z30" s="42"/>
      <c r="AA30" s="22">
        <f>VLOOKUP($B30,H13_M3,AA$3,FALSE)</f>
        <v>3.43600044293638</v>
      </c>
      <c r="AB30" s="28">
        <f>VLOOKUP($B30,H13_M3,AB$3,FALSE)</f>
        <v>1.6885766025431701E-6</v>
      </c>
      <c r="AD30" s="22">
        <f t="shared" si="4"/>
        <v>4.9280633997711867</v>
      </c>
      <c r="AE30" s="22">
        <f t="shared" si="5"/>
        <v>1.6074624687940953</v>
      </c>
      <c r="AF30" s="22">
        <f t="shared" si="6"/>
        <v>2.4289487809137298</v>
      </c>
      <c r="AG30" s="27">
        <f t="shared" si="7"/>
        <v>6.8987478362916796</v>
      </c>
    </row>
    <row r="31" spans="2:33" x14ac:dyDescent="0.2">
      <c r="C31" s="40">
        <v>2</v>
      </c>
      <c r="D31" s="40">
        <v>5</v>
      </c>
      <c r="E31" s="40">
        <v>2</v>
      </c>
      <c r="F31" s="40">
        <v>5</v>
      </c>
      <c r="G31" s="40">
        <v>2</v>
      </c>
      <c r="H31" s="40">
        <v>5</v>
      </c>
      <c r="I31" s="40">
        <v>2</v>
      </c>
      <c r="J31" s="40">
        <v>5</v>
      </c>
      <c r="K31" s="40">
        <v>2</v>
      </c>
      <c r="L31" s="40">
        <v>5</v>
      </c>
      <c r="M31" s="40">
        <v>2</v>
      </c>
      <c r="N31" s="40">
        <v>5</v>
      </c>
      <c r="O31" s="40">
        <v>2</v>
      </c>
      <c r="P31" s="40">
        <v>5</v>
      </c>
      <c r="Q31" s="40">
        <v>2</v>
      </c>
      <c r="R31" s="40">
        <v>5</v>
      </c>
      <c r="S31" s="40">
        <v>2</v>
      </c>
      <c r="T31" s="40">
        <v>5</v>
      </c>
      <c r="U31" s="40">
        <v>2</v>
      </c>
      <c r="V31" s="40">
        <v>5</v>
      </c>
      <c r="W31" s="40">
        <v>2</v>
      </c>
      <c r="X31" s="40">
        <v>5</v>
      </c>
      <c r="Y31" s="40">
        <v>2</v>
      </c>
      <c r="Z31" s="40">
        <v>5</v>
      </c>
      <c r="AA31" s="40">
        <v>2</v>
      </c>
      <c r="AB31" s="40">
        <v>5</v>
      </c>
    </row>
    <row r="32" spans="2:33" x14ac:dyDescent="0.2">
      <c r="B32" s="36" t="s">
        <v>11</v>
      </c>
      <c r="C32" s="22" t="s">
        <v>23</v>
      </c>
      <c r="D32" s="39" t="s">
        <v>26</v>
      </c>
      <c r="E32" s="22" t="s">
        <v>23</v>
      </c>
      <c r="F32" s="39" t="s">
        <v>26</v>
      </c>
      <c r="G32" s="22" t="s">
        <v>23</v>
      </c>
      <c r="H32" s="39" t="s">
        <v>26</v>
      </c>
      <c r="I32" s="22" t="s">
        <v>23</v>
      </c>
      <c r="J32" s="39" t="s">
        <v>26</v>
      </c>
      <c r="K32" s="22" t="s">
        <v>23</v>
      </c>
      <c r="L32" s="39" t="s">
        <v>26</v>
      </c>
      <c r="M32" s="22" t="s">
        <v>23</v>
      </c>
      <c r="N32" s="39" t="s">
        <v>26</v>
      </c>
      <c r="O32" s="22" t="s">
        <v>23</v>
      </c>
      <c r="P32" s="39" t="s">
        <v>26</v>
      </c>
      <c r="Q32" s="22" t="s">
        <v>23</v>
      </c>
      <c r="R32" s="39" t="s">
        <v>26</v>
      </c>
      <c r="S32" s="22" t="s">
        <v>23</v>
      </c>
      <c r="T32" s="39" t="s">
        <v>26</v>
      </c>
      <c r="U32" s="22" t="s">
        <v>23</v>
      </c>
      <c r="V32" s="39" t="s">
        <v>26</v>
      </c>
      <c r="W32" s="22" t="s">
        <v>23</v>
      </c>
      <c r="X32" s="39" t="s">
        <v>26</v>
      </c>
      <c r="Y32" s="22" t="s">
        <v>23</v>
      </c>
      <c r="Z32" s="39" t="s">
        <v>26</v>
      </c>
      <c r="AA32" s="22" t="s">
        <v>23</v>
      </c>
      <c r="AB32" s="39" t="s">
        <v>26</v>
      </c>
      <c r="AD32" s="11" t="s">
        <v>99</v>
      </c>
      <c r="AE32" s="11" t="s">
        <v>100</v>
      </c>
      <c r="AF32" s="11" t="s">
        <v>101</v>
      </c>
      <c r="AG32" s="11" t="s">
        <v>102</v>
      </c>
    </row>
    <row r="33" spans="2:33" x14ac:dyDescent="0.2">
      <c r="B33" s="5" t="s">
        <v>83</v>
      </c>
      <c r="C33" s="22" t="s">
        <v>48</v>
      </c>
      <c r="D33" s="28" t="s">
        <v>48</v>
      </c>
      <c r="E33" s="22" t="s">
        <v>48</v>
      </c>
      <c r="F33" s="28" t="s">
        <v>48</v>
      </c>
      <c r="G33" s="22" t="s">
        <v>48</v>
      </c>
      <c r="H33" s="28" t="s">
        <v>48</v>
      </c>
      <c r="I33" s="22" t="s">
        <v>48</v>
      </c>
      <c r="J33" s="28" t="s">
        <v>48</v>
      </c>
      <c r="K33" s="41"/>
      <c r="L33" s="42"/>
      <c r="M33" s="22" t="s">
        <v>48</v>
      </c>
      <c r="N33" s="28" t="s">
        <v>48</v>
      </c>
      <c r="O33" s="22" t="s">
        <v>48</v>
      </c>
      <c r="P33" s="28" t="s">
        <v>48</v>
      </c>
      <c r="Q33" s="41"/>
      <c r="R33" s="42"/>
      <c r="S33" s="22" t="s">
        <v>48</v>
      </c>
      <c r="T33" s="28" t="s">
        <v>48</v>
      </c>
      <c r="U33" s="41"/>
      <c r="V33" s="42"/>
      <c r="W33" s="22" t="s">
        <v>48</v>
      </c>
      <c r="X33" s="28" t="s">
        <v>48</v>
      </c>
      <c r="Y33" s="41"/>
      <c r="Z33" s="42"/>
      <c r="AA33" s="22" t="s">
        <v>48</v>
      </c>
      <c r="AB33" s="28" t="s">
        <v>48</v>
      </c>
      <c r="AD33" s="22" t="s">
        <v>48</v>
      </c>
      <c r="AE33" s="22" t="s">
        <v>48</v>
      </c>
      <c r="AF33" s="22" t="s">
        <v>48</v>
      </c>
      <c r="AG33" s="22" t="s">
        <v>48</v>
      </c>
    </row>
    <row r="34" spans="2:33" x14ac:dyDescent="0.2">
      <c r="B34" s="5" t="s">
        <v>84</v>
      </c>
      <c r="C34" s="22" t="s">
        <v>48</v>
      </c>
      <c r="D34" s="28" t="s">
        <v>48</v>
      </c>
      <c r="E34" s="22" t="s">
        <v>48</v>
      </c>
      <c r="F34" s="28" t="s">
        <v>48</v>
      </c>
      <c r="G34" s="22" t="s">
        <v>48</v>
      </c>
      <c r="H34" s="28" t="s">
        <v>48</v>
      </c>
      <c r="I34" s="22" t="s">
        <v>48</v>
      </c>
      <c r="J34" s="28" t="s">
        <v>48</v>
      </c>
      <c r="K34" s="41"/>
      <c r="L34" s="42"/>
      <c r="M34" s="22" t="s">
        <v>48</v>
      </c>
      <c r="N34" s="28" t="s">
        <v>48</v>
      </c>
      <c r="O34" s="22" t="s">
        <v>48</v>
      </c>
      <c r="P34" s="28" t="s">
        <v>48</v>
      </c>
      <c r="Q34" s="41"/>
      <c r="R34" s="42"/>
      <c r="S34" s="22" t="s">
        <v>48</v>
      </c>
      <c r="T34" s="28" t="s">
        <v>48</v>
      </c>
      <c r="U34" s="41"/>
      <c r="V34" s="42"/>
      <c r="W34" s="22" t="s">
        <v>48</v>
      </c>
      <c r="X34" s="28" t="s">
        <v>48</v>
      </c>
      <c r="Y34" s="41"/>
      <c r="Z34" s="42"/>
      <c r="AA34" s="22" t="s">
        <v>48</v>
      </c>
      <c r="AB34" s="28" t="s">
        <v>48</v>
      </c>
      <c r="AD34" s="22" t="s">
        <v>48</v>
      </c>
      <c r="AE34" s="22" t="s">
        <v>48</v>
      </c>
      <c r="AF34" s="22" t="s">
        <v>48</v>
      </c>
      <c r="AG34" s="22" t="s">
        <v>48</v>
      </c>
    </row>
    <row r="35" spans="2:33" x14ac:dyDescent="0.2">
      <c r="B35" s="5" t="s">
        <v>85</v>
      </c>
      <c r="C35" s="22" t="s">
        <v>48</v>
      </c>
      <c r="D35" s="28" t="s">
        <v>48</v>
      </c>
      <c r="E35" s="22" t="s">
        <v>48</v>
      </c>
      <c r="F35" s="28" t="s">
        <v>48</v>
      </c>
      <c r="G35" s="22" t="s">
        <v>48</v>
      </c>
      <c r="H35" s="28" t="s">
        <v>48</v>
      </c>
      <c r="I35" s="22" t="s">
        <v>48</v>
      </c>
      <c r="J35" s="28" t="s">
        <v>48</v>
      </c>
      <c r="K35" s="22">
        <f>VLOOKUP($B35,H05_M3,K$3,FALSE)</f>
        <v>-2.8116643846673002</v>
      </c>
      <c r="L35" s="28">
        <f>VLOOKUP($B35,H05_M3,L$3,FALSE)</f>
        <v>8.5668057891921095E-3</v>
      </c>
      <c r="M35" s="22" t="s">
        <v>48</v>
      </c>
      <c r="N35" s="28" t="s">
        <v>48</v>
      </c>
      <c r="O35" s="22" t="s">
        <v>48</v>
      </c>
      <c r="P35" s="28" t="s">
        <v>48</v>
      </c>
      <c r="Q35" s="22">
        <f>VLOOKUP($B35,H08_M3,Q$3,FALSE)</f>
        <v>-3.2473774649687601</v>
      </c>
      <c r="R35" s="28">
        <f>VLOOKUP($B35,H08_M3,R$3,FALSE)</f>
        <v>3.3339427369960501E-4</v>
      </c>
      <c r="S35" s="22" t="s">
        <v>48</v>
      </c>
      <c r="T35" s="28" t="s">
        <v>48</v>
      </c>
      <c r="U35" s="22">
        <f>VLOOKUP($B35,H10_M3,U$3,FALSE)</f>
        <v>-11.1675005300224</v>
      </c>
      <c r="V35" s="28">
        <f>VLOOKUP($B35,H10_M3,V$3,FALSE)</f>
        <v>1.34748240041659E-2</v>
      </c>
      <c r="W35" s="22" t="s">
        <v>48</v>
      </c>
      <c r="X35" s="28" t="s">
        <v>48</v>
      </c>
      <c r="Y35" s="41"/>
      <c r="Z35" s="42"/>
      <c r="AA35" s="22" t="s">
        <v>48</v>
      </c>
      <c r="AB35" s="28" t="s">
        <v>48</v>
      </c>
      <c r="AD35" s="22">
        <f t="shared" ref="AD34:AD37" si="8">AVERAGE(C35,E35,G35,I35,K35,M35,O35,Q35,S35,U35,W35,Y35,AA35)</f>
        <v>-5.7421807932194868</v>
      </c>
      <c r="AE35" s="22">
        <f t="shared" ref="AE34:AE37" si="9">_xlfn.STDEV.S(C35,E35,G35,I35,K35,M35,O35,Q35,S35,U35,W35,Y35,AA35)</f>
        <v>4.7035127465537769</v>
      </c>
      <c r="AF35" s="22">
        <f t="shared" ref="AF34:AF37" si="10">MIN(C35,E35,G35,I35,K35,M35,O35,Q35,S35,U35,W35,Y35,AA35)</f>
        <v>-11.1675005300224</v>
      </c>
      <c r="AG35" s="27">
        <f t="shared" ref="AG34:AG37" si="11">MAX(C35,E35,G35,I35,K35,M35,O35,Q35,S35,U35,W35,Y35,AA35)</f>
        <v>-2.8116643846673002</v>
      </c>
    </row>
    <row r="36" spans="2:33" x14ac:dyDescent="0.2">
      <c r="B36" s="5" t="s">
        <v>86</v>
      </c>
      <c r="C36" s="22" t="s">
        <v>48</v>
      </c>
      <c r="D36" s="28" t="s">
        <v>48</v>
      </c>
      <c r="E36" s="22" t="s">
        <v>48</v>
      </c>
      <c r="F36" s="28" t="s">
        <v>48</v>
      </c>
      <c r="G36" s="22" t="s">
        <v>48</v>
      </c>
      <c r="H36" s="28" t="s">
        <v>48</v>
      </c>
      <c r="I36" s="22" t="s">
        <v>48</v>
      </c>
      <c r="J36" s="28" t="s">
        <v>48</v>
      </c>
      <c r="K36" s="22">
        <f>VLOOKUP($B36,H05_M3,K$3,FALSE)</f>
        <v>-2.5981252054175599</v>
      </c>
      <c r="L36" s="28">
        <f>VLOOKUP($B36,H05_M3,L$3,FALSE)</f>
        <v>5.5635308749302204E-4</v>
      </c>
      <c r="M36" s="22" t="s">
        <v>48</v>
      </c>
      <c r="N36" s="28" t="s">
        <v>48</v>
      </c>
      <c r="O36" s="22" t="s">
        <v>48</v>
      </c>
      <c r="P36" s="28" t="s">
        <v>48</v>
      </c>
      <c r="Q36" s="22">
        <f>VLOOKUP($B36,H08_M3,Q$3,FALSE)</f>
        <v>-2.0953306787341401</v>
      </c>
      <c r="R36" s="28">
        <f>VLOOKUP($B36,H08_M3,R$3,FALSE)</f>
        <v>6.4490312283726995E-5</v>
      </c>
      <c r="S36" s="22" t="s">
        <v>48</v>
      </c>
      <c r="T36" s="28" t="s">
        <v>48</v>
      </c>
      <c r="U36" s="22">
        <f>VLOOKUP($B36,H10_M3,U$3,FALSE)</f>
        <v>-4.1057424869375101</v>
      </c>
      <c r="V36" s="28">
        <f>VLOOKUP($B36,H10_M3,V$3,FALSE)</f>
        <v>4.3094314351289603E-2</v>
      </c>
      <c r="W36" s="22" t="s">
        <v>48</v>
      </c>
      <c r="X36" s="28" t="s">
        <v>48</v>
      </c>
      <c r="Y36" s="22">
        <f>VLOOKUP($B36,H12_M3,Y$3,FALSE)</f>
        <v>-4.9601075768737397</v>
      </c>
      <c r="Z36" s="28">
        <f>VLOOKUP($B36,H12_M3,Z$3,FALSE)</f>
        <v>1.11076235189844E-3</v>
      </c>
      <c r="AA36" s="22" t="s">
        <v>48</v>
      </c>
      <c r="AB36" s="28" t="s">
        <v>48</v>
      </c>
      <c r="AD36" s="22">
        <f t="shared" si="8"/>
        <v>-3.4398264869907376</v>
      </c>
      <c r="AE36" s="22">
        <f t="shared" si="9"/>
        <v>1.3254972321186305</v>
      </c>
      <c r="AF36" s="22">
        <f t="shared" si="10"/>
        <v>-4.9601075768737397</v>
      </c>
      <c r="AG36" s="27">
        <f t="shared" si="11"/>
        <v>-2.0953306787341401</v>
      </c>
    </row>
    <row r="37" spans="2:33" x14ac:dyDescent="0.2">
      <c r="B37" s="5" t="s">
        <v>47</v>
      </c>
      <c r="C37" s="22" t="s">
        <v>48</v>
      </c>
      <c r="D37" s="28" t="s">
        <v>48</v>
      </c>
      <c r="E37" s="22" t="s">
        <v>48</v>
      </c>
      <c r="F37" s="28" t="s">
        <v>48</v>
      </c>
      <c r="G37" s="22" t="s">
        <v>48</v>
      </c>
      <c r="H37" s="28" t="s">
        <v>48</v>
      </c>
      <c r="I37" s="22" t="s">
        <v>48</v>
      </c>
      <c r="J37" s="28" t="s">
        <v>48</v>
      </c>
      <c r="K37" s="41"/>
      <c r="L37" s="42"/>
      <c r="M37" s="22" t="s">
        <v>48</v>
      </c>
      <c r="N37" s="28" t="s">
        <v>48</v>
      </c>
      <c r="O37" s="22" t="s">
        <v>48</v>
      </c>
      <c r="P37" s="28" t="s">
        <v>48</v>
      </c>
      <c r="Q37" s="22">
        <f>VLOOKUP($B37,H08_M3,Q$3,FALSE)</f>
        <v>3.4295743612645402</v>
      </c>
      <c r="R37" s="28">
        <f>VLOOKUP($B37,H08_M3,R$3,FALSE)</f>
        <v>1.12085664367711E-4</v>
      </c>
      <c r="S37" s="22" t="s">
        <v>48</v>
      </c>
      <c r="T37" s="28" t="s">
        <v>48</v>
      </c>
      <c r="U37" s="22">
        <f>VLOOKUP($B37,H10_M3,U$3,FALSE)</f>
        <v>6.3487205829289</v>
      </c>
      <c r="V37" s="28">
        <f>VLOOKUP($B37,H10_M3,V$3,FALSE)</f>
        <v>1.8089566022449999E-5</v>
      </c>
      <c r="W37" s="22" t="s">
        <v>48</v>
      </c>
      <c r="X37" s="28" t="s">
        <v>48</v>
      </c>
      <c r="Y37" s="41"/>
      <c r="Z37" s="42"/>
      <c r="AA37" s="22" t="s">
        <v>48</v>
      </c>
      <c r="AB37" s="28" t="s">
        <v>48</v>
      </c>
      <c r="AD37" s="22">
        <f t="shared" si="8"/>
        <v>4.8891474720967203</v>
      </c>
      <c r="AE37" s="22">
        <f t="shared" si="9"/>
        <v>2.0641480886139574</v>
      </c>
      <c r="AF37" s="22">
        <f t="shared" si="10"/>
        <v>3.4295743612645402</v>
      </c>
      <c r="AG37" s="27">
        <f t="shared" si="11"/>
        <v>6.3487205829289</v>
      </c>
    </row>
    <row r="38" spans="2:33" x14ac:dyDescent="0.2">
      <c r="C38" s="40">
        <v>2</v>
      </c>
      <c r="D38" s="40">
        <v>5</v>
      </c>
      <c r="E38" s="40">
        <v>2</v>
      </c>
      <c r="F38" s="40">
        <v>5</v>
      </c>
      <c r="G38" s="40">
        <v>2</v>
      </c>
      <c r="H38" s="40">
        <v>5</v>
      </c>
      <c r="I38" s="40">
        <v>2</v>
      </c>
      <c r="J38" s="40">
        <v>5</v>
      </c>
      <c r="K38" s="40">
        <v>2</v>
      </c>
      <c r="L38" s="40">
        <v>5</v>
      </c>
      <c r="M38" s="40">
        <v>2</v>
      </c>
      <c r="N38" s="40">
        <v>5</v>
      </c>
      <c r="O38" s="40">
        <v>2</v>
      </c>
      <c r="P38" s="40">
        <v>5</v>
      </c>
      <c r="Q38" s="40">
        <v>2</v>
      </c>
      <c r="R38" s="40">
        <v>5</v>
      </c>
      <c r="S38" s="40">
        <v>2</v>
      </c>
      <c r="T38" s="40">
        <v>5</v>
      </c>
      <c r="U38" s="40">
        <v>2</v>
      </c>
      <c r="V38" s="40">
        <v>5</v>
      </c>
      <c r="W38" s="40">
        <v>2</v>
      </c>
      <c r="X38" s="40">
        <v>5</v>
      </c>
      <c r="Y38" s="40">
        <v>2</v>
      </c>
      <c r="Z38" s="40">
        <v>5</v>
      </c>
      <c r="AA38" s="40">
        <v>2</v>
      </c>
      <c r="AB38" s="40">
        <v>5</v>
      </c>
    </row>
    <row r="39" spans="2:33" x14ac:dyDescent="0.2">
      <c r="B39" s="36" t="s">
        <v>3</v>
      </c>
      <c r="C39" s="22" t="s">
        <v>23</v>
      </c>
      <c r="D39" s="39" t="s">
        <v>26</v>
      </c>
      <c r="E39" s="22" t="s">
        <v>23</v>
      </c>
      <c r="F39" s="39" t="s">
        <v>26</v>
      </c>
      <c r="G39" s="22" t="s">
        <v>23</v>
      </c>
      <c r="H39" s="39" t="s">
        <v>26</v>
      </c>
      <c r="I39" s="22" t="s">
        <v>23</v>
      </c>
      <c r="J39" s="39" t="s">
        <v>26</v>
      </c>
      <c r="K39" s="22" t="s">
        <v>23</v>
      </c>
      <c r="L39" s="39" t="s">
        <v>26</v>
      </c>
      <c r="M39" s="22" t="s">
        <v>23</v>
      </c>
      <c r="N39" s="39" t="s">
        <v>26</v>
      </c>
      <c r="O39" s="22" t="s">
        <v>23</v>
      </c>
      <c r="P39" s="39" t="s">
        <v>26</v>
      </c>
      <c r="Q39" s="22" t="s">
        <v>23</v>
      </c>
      <c r="R39" s="39" t="s">
        <v>26</v>
      </c>
      <c r="S39" s="22" t="s">
        <v>23</v>
      </c>
      <c r="T39" s="39" t="s">
        <v>26</v>
      </c>
      <c r="U39" s="22" t="s">
        <v>23</v>
      </c>
      <c r="V39" s="39" t="s">
        <v>26</v>
      </c>
      <c r="W39" s="22" t="s">
        <v>23</v>
      </c>
      <c r="X39" s="39" t="s">
        <v>26</v>
      </c>
      <c r="Y39" s="22" t="s">
        <v>23</v>
      </c>
      <c r="Z39" s="39" t="s">
        <v>26</v>
      </c>
      <c r="AA39" s="22" t="s">
        <v>23</v>
      </c>
      <c r="AB39" s="39" t="s">
        <v>26</v>
      </c>
      <c r="AD39" s="11" t="s">
        <v>99</v>
      </c>
      <c r="AE39" s="11" t="s">
        <v>100</v>
      </c>
      <c r="AF39" s="11" t="s">
        <v>101</v>
      </c>
      <c r="AG39" s="11" t="s">
        <v>102</v>
      </c>
    </row>
    <row r="40" spans="2:33" x14ac:dyDescent="0.2">
      <c r="B40" s="37" t="s">
        <v>79</v>
      </c>
      <c r="C40" s="41"/>
      <c r="D40" s="42"/>
      <c r="E40" s="22">
        <f>VLOOKUP($B40,H02_M3,E$3,FALSE)</f>
        <v>-0.96770689931235598</v>
      </c>
      <c r="F40" s="28">
        <f>VLOOKUP($B40,H02_M3,F$3,FALSE)</f>
        <v>2.7899287928231799E-2</v>
      </c>
      <c r="G40" s="41"/>
      <c r="H40" s="42"/>
      <c r="I40" s="41"/>
      <c r="J40" s="42"/>
      <c r="K40" s="41"/>
      <c r="L40" s="42"/>
      <c r="M40" s="41"/>
      <c r="N40" s="42"/>
      <c r="O40" s="41"/>
      <c r="P40" s="42"/>
      <c r="Q40" s="41"/>
      <c r="R40" s="42"/>
      <c r="S40" s="41"/>
      <c r="T40" s="42"/>
      <c r="U40" s="22">
        <f>VLOOKUP($B40,H10_M3,U$3,FALSE)</f>
        <v>-6.5225393137934597</v>
      </c>
      <c r="V40" s="28">
        <f>VLOOKUP($B40,H10_M3,V$3,FALSE)</f>
        <v>4.3585985486402003E-2</v>
      </c>
      <c r="W40" s="41"/>
      <c r="X40" s="42"/>
      <c r="Y40" s="41"/>
      <c r="Z40" s="42"/>
      <c r="AA40" s="22">
        <f>VLOOKUP($B40,H13_M3,AA$3,FALSE)</f>
        <v>-0.80379288806093696</v>
      </c>
      <c r="AB40" s="28">
        <f>VLOOKUP($B40,H13_M3,AB$3,FALSE)</f>
        <v>9.8379754846535904E-3</v>
      </c>
      <c r="AD40" s="22">
        <f t="shared" ref="AD40:AD44" si="12">AVERAGE(C40,E40,G40,I40,K40,M40,O40,Q40,S40,U40,W40,Y40,AA40)</f>
        <v>-2.7646797003889176</v>
      </c>
      <c r="AE40" s="22">
        <f t="shared" ref="AE40:AE44" si="13">_xlfn.STDEV.S(C40,E40,G40,I40,K40,M40,O40,Q40,S40,U40,W40,Y40,AA40)</f>
        <v>3.2554337047947746</v>
      </c>
      <c r="AF40" s="22">
        <f t="shared" ref="AF40:AF44" si="14">MIN(C40,E40,G40,I40,K40,M40,O40,Q40,S40,U40,W40,Y40,AA40)</f>
        <v>-6.5225393137934597</v>
      </c>
      <c r="AG40" s="27">
        <f t="shared" ref="AG40:AG44" si="15">MAX(C40,E40,G40,I40,K40,M40,O40,Q40,S40,U40,W40,Y40,AA40)</f>
        <v>-0.80379288806093696</v>
      </c>
    </row>
    <row r="41" spans="2:33" x14ac:dyDescent="0.2">
      <c r="B41" s="37" t="s">
        <v>80</v>
      </c>
      <c r="C41" s="41"/>
      <c r="D41" s="42"/>
      <c r="E41" s="41"/>
      <c r="F41" s="42"/>
      <c r="G41" s="41"/>
      <c r="H41" s="42"/>
      <c r="I41" s="22">
        <f>VLOOKUP($B41,H04_M3,I$3,FALSE)</f>
        <v>-0.82086173020610997</v>
      </c>
      <c r="J41" s="28">
        <f>VLOOKUP($B41,H04_M3,J$3,FALSE)</f>
        <v>1.2850419711455299E-2</v>
      </c>
      <c r="K41" s="41"/>
      <c r="L41" s="42"/>
      <c r="M41" s="41"/>
      <c r="N41" s="42"/>
      <c r="O41" s="22">
        <f>VLOOKUP($B41,H07_M3,O$3,FALSE)</f>
        <v>-1.9980349745567201</v>
      </c>
      <c r="P41" s="28">
        <f>VLOOKUP($B41,H07_M3,P$3,FALSE)</f>
        <v>2.0585827605260801E-2</v>
      </c>
      <c r="Q41" s="41"/>
      <c r="R41" s="42"/>
      <c r="S41" s="22">
        <f>VLOOKUP($B41,H09_M3,S$3,FALSE)</f>
        <v>-0.71228338199567498</v>
      </c>
      <c r="T41" s="28">
        <f>VLOOKUP($B41,H09_M3,T$3,FALSE)</f>
        <v>1.0518970128319901E-2</v>
      </c>
      <c r="U41" s="41"/>
      <c r="V41" s="42"/>
      <c r="W41" s="41"/>
      <c r="X41" s="42"/>
      <c r="Y41" s="41"/>
      <c r="Z41" s="42"/>
      <c r="AA41" s="41"/>
      <c r="AB41" s="42"/>
      <c r="AD41" s="22">
        <f t="shared" si="12"/>
        <v>-1.1770600289195017</v>
      </c>
      <c r="AE41" s="22">
        <f t="shared" si="13"/>
        <v>0.71305484392720608</v>
      </c>
      <c r="AF41" s="22">
        <f t="shared" si="14"/>
        <v>-1.9980349745567201</v>
      </c>
      <c r="AG41" s="27">
        <f t="shared" si="15"/>
        <v>-0.71228338199567498</v>
      </c>
    </row>
    <row r="42" spans="2:33" x14ac:dyDescent="0.2">
      <c r="B42" s="37" t="s">
        <v>81</v>
      </c>
      <c r="C42" s="22">
        <f>VLOOKUP($B42,H01_M3,C$3,FALSE)</f>
        <v>-2.9330264456138999</v>
      </c>
      <c r="D42" s="28">
        <f>VLOOKUP($B42,H01_M3,D$3,FALSE)</f>
        <v>4.7464272490183002E-4</v>
      </c>
      <c r="E42" s="41"/>
      <c r="F42" s="42"/>
      <c r="G42" s="41"/>
      <c r="H42" s="42"/>
      <c r="I42" s="22">
        <f>VLOOKUP($B42,H04_M3,I$3,FALSE)</f>
        <v>-6.7037982474650697</v>
      </c>
      <c r="J42" s="28">
        <f>VLOOKUP($B42,H04_M3,J$3,FALSE)</f>
        <v>1.6067406975589501E-2</v>
      </c>
      <c r="K42" s="41"/>
      <c r="L42" s="42"/>
      <c r="M42" s="22">
        <f>VLOOKUP($B42,H06_M3,M$3,FALSE)</f>
        <v>-1.4065714003504499</v>
      </c>
      <c r="N42" s="28">
        <f>VLOOKUP($B42,H06_M3,N$3,FALSE)</f>
        <v>3.73875368166554E-3</v>
      </c>
      <c r="O42" s="41"/>
      <c r="P42" s="42"/>
      <c r="Q42" s="41"/>
      <c r="R42" s="42"/>
      <c r="S42" s="41"/>
      <c r="T42" s="42"/>
      <c r="U42" s="41"/>
      <c r="V42" s="42"/>
      <c r="W42" s="41"/>
      <c r="X42" s="42"/>
      <c r="Y42" s="41"/>
      <c r="Z42" s="42"/>
      <c r="AA42" s="41"/>
      <c r="AB42" s="42"/>
      <c r="AD42" s="22">
        <f t="shared" ref="AD42:AD44" si="16">AVERAGE(C42,E42,G42,I42,K42,M42,O42,Q42,S42,U42,W42,Y42,AA42)</f>
        <v>-3.6811320311431395</v>
      </c>
      <c r="AE42" s="22">
        <f t="shared" ref="AE42:AE44" si="17">_xlfn.STDEV.S(C42,E42,G42,I42,K42,M42,O42,Q42,S42,U42,W42,Y42,AA42)</f>
        <v>2.7267012199309653</v>
      </c>
      <c r="AF42" s="22">
        <f t="shared" ref="AF42:AF44" si="18">MIN(C42,E42,G42,I42,K42,M42,O42,Q42,S42,U42,W42,Y42,AA42)</f>
        <v>-6.7037982474650697</v>
      </c>
      <c r="AG42" s="27">
        <f t="shared" ref="AG42:AG44" si="19">MAX(C42,E42,G42,I42,K42,M42,O42,Q42,S42,U42,W42,Y42,AA42)</f>
        <v>-1.4065714003504499</v>
      </c>
    </row>
    <row r="43" spans="2:33" x14ac:dyDescent="0.2">
      <c r="B43" s="37" t="s">
        <v>82</v>
      </c>
      <c r="C43" s="22">
        <f>VLOOKUP($B43,H01_M3,C$3,FALSE)</f>
        <v>-2.1567170141629299</v>
      </c>
      <c r="D43" s="28">
        <f>VLOOKUP($B43,H01_M3,D$3,FALSE)</f>
        <v>7.2478569247858005E-5</v>
      </c>
      <c r="E43" s="22">
        <f>VLOOKUP($B43,H02_M3,E$3,FALSE)</f>
        <v>-1.0523960627986799</v>
      </c>
      <c r="F43" s="28">
        <f>VLOOKUP($B43,H02_M3,F$3,FALSE)</f>
        <v>3.9313872225763503E-3</v>
      </c>
      <c r="G43" s="22">
        <f>VLOOKUP($B43,H03_M3,G$3,FALSE)</f>
        <v>-0.69540519689590496</v>
      </c>
      <c r="H43" s="28">
        <f>VLOOKUP($B43,H03_M3,H$3,FALSE)</f>
        <v>5.2424519022831097E-4</v>
      </c>
      <c r="I43" s="22">
        <f>VLOOKUP($B43,H04_M3,I$3,FALSE)</f>
        <v>-9.6306159993715994</v>
      </c>
      <c r="J43" s="28">
        <f>VLOOKUP($B43,H04_M3,J$3,FALSE)</f>
        <v>1.72652517227422E-5</v>
      </c>
      <c r="K43" s="22">
        <f>VLOOKUP($B43,H05_M3,K$3,FALSE)</f>
        <v>-0.78079509766133104</v>
      </c>
      <c r="L43" s="28">
        <f>VLOOKUP($B43,H05_M3,L$3,FALSE)</f>
        <v>2.5781620054776602E-4</v>
      </c>
      <c r="M43" s="22">
        <f>VLOOKUP($B43,H06_M3,M$3,FALSE)</f>
        <v>-0.91104390013301695</v>
      </c>
      <c r="N43" s="28">
        <f>VLOOKUP($B43,H06_M3,N$3,FALSE)</f>
        <v>1.81365369751351E-3</v>
      </c>
      <c r="O43" s="22">
        <f>VLOOKUP($B43,H07_M3,O$3,FALSE)</f>
        <v>-5.9062903474814403</v>
      </c>
      <c r="P43" s="28">
        <f>VLOOKUP($B43,H07_M3,P$3,FALSE)</f>
        <v>2.3015631770904699E-2</v>
      </c>
      <c r="Q43" s="22">
        <f>VLOOKUP($B43,H08_M3,Q$3,FALSE)</f>
        <v>-0.24822122126127799</v>
      </c>
      <c r="R43" s="28">
        <f>VLOOKUP($B43,H08_M3,R$3,FALSE)</f>
        <v>3.7020439189652199E-2</v>
      </c>
      <c r="S43" s="22">
        <f>VLOOKUP($B43,H09_M3,S$3,FALSE)</f>
        <v>-0.87606871627246696</v>
      </c>
      <c r="T43" s="28">
        <f>VLOOKUP($B43,H09_M3,T$3,FALSE)</f>
        <v>6.0643229392232101E-4</v>
      </c>
      <c r="U43" s="22">
        <f>VLOOKUP($B43,H10_M3,U$3,FALSE)</f>
        <v>-10.865302391043899</v>
      </c>
      <c r="V43" s="28">
        <f>VLOOKUP($B43,H10_M3,V$3,FALSE)</f>
        <v>1.1825180415940301E-2</v>
      </c>
      <c r="W43" s="41"/>
      <c r="X43" s="42"/>
      <c r="Y43" s="22">
        <f>VLOOKUP($B43,H12_M3,Y$3,FALSE)</f>
        <v>-3.0781089950912901</v>
      </c>
      <c r="Z43" s="28">
        <f>VLOOKUP($B43,H12_M3,Z$3,FALSE)</f>
        <v>6.1375682520081699E-3</v>
      </c>
      <c r="AA43" s="22">
        <f>VLOOKUP($B43,H13_M3,AA$3,FALSE)</f>
        <v>-5.5098170294103097</v>
      </c>
      <c r="AB43" s="28">
        <f>VLOOKUP($B43,H13_M3,AB$3,FALSE)</f>
        <v>1.13569610475194E-3</v>
      </c>
      <c r="AD43" s="22">
        <f t="shared" ref="AD43:AD44" si="20">AVERAGE(C43,E43,G43,I43,K43,M43,O43,Q43,S43,U43,W43,Y43,AA43)</f>
        <v>-3.4758984976320124</v>
      </c>
      <c r="AE43" s="22">
        <f t="shared" ref="AE43:AE44" si="21">_xlfn.STDEV.S(C43,E43,G43,I43,K43,M43,O43,Q43,S43,U43,W43,Y43,AA43)</f>
        <v>3.6810266208929234</v>
      </c>
      <c r="AF43" s="22">
        <f t="shared" ref="AF43:AF44" si="22">MIN(C43,E43,G43,I43,K43,M43,O43,Q43,S43,U43,W43,Y43,AA43)</f>
        <v>-10.865302391043899</v>
      </c>
      <c r="AG43" s="27">
        <f t="shared" ref="AG43:AG44" si="23">MAX(C43,E43,G43,I43,K43,M43,O43,Q43,S43,U43,W43,Y43,AA43)</f>
        <v>-0.24822122126127799</v>
      </c>
    </row>
    <row r="44" spans="2:33" x14ac:dyDescent="0.2">
      <c r="B44" s="37" t="s">
        <v>33</v>
      </c>
      <c r="C44" s="22">
        <f>VLOOKUP($B44,H01_M3,C$3,FALSE)</f>
        <v>2.62758536006154</v>
      </c>
      <c r="D44" s="28">
        <f>VLOOKUP($B44,H01_M3,D$3,FALSE)</f>
        <v>1.10951622918298E-4</v>
      </c>
      <c r="E44" s="22">
        <f>VLOOKUP($B44,H02_M3,E$3,FALSE)</f>
        <v>1.92443465134766</v>
      </c>
      <c r="F44" s="28">
        <f>VLOOKUP($B44,H02_M3,F$3,FALSE)</f>
        <v>2.0254706683500798E-2</v>
      </c>
      <c r="G44" s="41"/>
      <c r="H44" s="42"/>
      <c r="I44" s="22">
        <f>VLOOKUP($B44,H04_M3,I$3,FALSE)</f>
        <v>3.91264093797979</v>
      </c>
      <c r="J44" s="28">
        <f>VLOOKUP($B44,H04_M3,J$3,FALSE)</f>
        <v>2.2683658966759999E-4</v>
      </c>
      <c r="K44" s="41"/>
      <c r="L44" s="42"/>
      <c r="M44" s="22">
        <f>VLOOKUP($B44,H06_M3,M$3,FALSE)</f>
        <v>3.0721082932758201</v>
      </c>
      <c r="N44" s="28">
        <f>VLOOKUP($B44,H06_M3,N$3,FALSE)</f>
        <v>2.6635560483691998E-3</v>
      </c>
      <c r="O44" s="22">
        <f>VLOOKUP($B44,H07_M3,O$3,FALSE)</f>
        <v>3.99017149574644</v>
      </c>
      <c r="P44" s="28">
        <f>VLOOKUP($B44,H07_M3,P$3,FALSE)</f>
        <v>2.73615533369568E-2</v>
      </c>
      <c r="Q44" s="41"/>
      <c r="R44" s="42"/>
      <c r="S44" s="41"/>
      <c r="T44" s="42"/>
      <c r="U44" s="41"/>
      <c r="V44" s="42"/>
      <c r="W44" s="22">
        <f>VLOOKUP($B44,H11_M3,W$3,FALSE)</f>
        <v>4.6883396009256399</v>
      </c>
      <c r="X44" s="28">
        <f>VLOOKUP($B44,H11_M3,X$3,FALSE)</f>
        <v>1.4155951007948E-3</v>
      </c>
      <c r="Y44" s="41"/>
      <c r="Z44" s="42"/>
      <c r="AA44" s="41"/>
      <c r="AB44" s="42"/>
      <c r="AD44" s="22">
        <f t="shared" si="20"/>
        <v>3.3692133898894814</v>
      </c>
      <c r="AE44" s="22">
        <f t="shared" si="21"/>
        <v>1.0145605557381296</v>
      </c>
      <c r="AF44" s="22">
        <f t="shared" si="22"/>
        <v>1.92443465134766</v>
      </c>
      <c r="AG44" s="27">
        <f t="shared" si="23"/>
        <v>4.6883396009256399</v>
      </c>
    </row>
  </sheetData>
  <mergeCells count="13">
    <mergeCell ref="AA2:AB2"/>
    <mergeCell ref="O2:P2"/>
    <mergeCell ref="Q2:R2"/>
    <mergeCell ref="S2:T2"/>
    <mergeCell ref="U2:V2"/>
    <mergeCell ref="W2:X2"/>
    <mergeCell ref="Y2:Z2"/>
    <mergeCell ref="C2:D2"/>
    <mergeCell ref="E2:F2"/>
    <mergeCell ref="G2:H2"/>
    <mergeCell ref="I2:J2"/>
    <mergeCell ref="K2:L2"/>
    <mergeCell ref="M2:N2"/>
  </mergeCells>
  <conditionalFormatting sqref="C5:L9 O5:R9 U5:AB9">
    <cfRule type="cellIs" dxfId="138" priority="70" operator="equal">
      <formula>0</formula>
    </cfRule>
  </conditionalFormatting>
  <conditionalFormatting sqref="C19:D23">
    <cfRule type="cellIs" dxfId="137" priority="69" operator="equal">
      <formula>0</formula>
    </cfRule>
  </conditionalFormatting>
  <conditionalFormatting sqref="C12:D16">
    <cfRule type="cellIs" dxfId="136" priority="68" operator="equal">
      <formula>0</formula>
    </cfRule>
  </conditionalFormatting>
  <conditionalFormatting sqref="C26:D30">
    <cfRule type="cellIs" dxfId="135" priority="67" operator="equal">
      <formula>0</formula>
    </cfRule>
  </conditionalFormatting>
  <conditionalFormatting sqref="C40:D44">
    <cfRule type="cellIs" dxfId="134" priority="66" operator="equal">
      <formula>0</formula>
    </cfRule>
  </conditionalFormatting>
  <conditionalFormatting sqref="C33:D37">
    <cfRule type="cellIs" dxfId="133" priority="65" operator="equal">
      <formula>0</formula>
    </cfRule>
  </conditionalFormatting>
  <conditionalFormatting sqref="E26:F30">
    <cfRule type="cellIs" dxfId="132" priority="64" operator="equal">
      <formula>0</formula>
    </cfRule>
  </conditionalFormatting>
  <conditionalFormatting sqref="E40:F44">
    <cfRule type="cellIs" dxfId="131" priority="63" operator="equal">
      <formula>0</formula>
    </cfRule>
  </conditionalFormatting>
  <conditionalFormatting sqref="E33:F37">
    <cfRule type="cellIs" dxfId="130" priority="62" operator="equal">
      <formula>0</formula>
    </cfRule>
  </conditionalFormatting>
  <conditionalFormatting sqref="E19:F23">
    <cfRule type="cellIs" dxfId="129" priority="61" operator="equal">
      <formula>0</formula>
    </cfRule>
  </conditionalFormatting>
  <conditionalFormatting sqref="E12:F16">
    <cfRule type="cellIs" dxfId="128" priority="60" operator="equal">
      <formula>0</formula>
    </cfRule>
  </conditionalFormatting>
  <conditionalFormatting sqref="G12:H16">
    <cfRule type="cellIs" dxfId="127" priority="59" operator="equal">
      <formula>0</formula>
    </cfRule>
  </conditionalFormatting>
  <conditionalFormatting sqref="G26:H30">
    <cfRule type="cellIs" dxfId="126" priority="58" operator="equal">
      <formula>0</formula>
    </cfRule>
  </conditionalFormatting>
  <conditionalFormatting sqref="G40:H44">
    <cfRule type="cellIs" dxfId="125" priority="57" operator="equal">
      <formula>0</formula>
    </cfRule>
  </conditionalFormatting>
  <conditionalFormatting sqref="G33:H37">
    <cfRule type="cellIs" dxfId="124" priority="56" operator="equal">
      <formula>0</formula>
    </cfRule>
  </conditionalFormatting>
  <conditionalFormatting sqref="G19:H23">
    <cfRule type="cellIs" dxfId="123" priority="55" operator="equal">
      <formula>0</formula>
    </cfRule>
  </conditionalFormatting>
  <conditionalFormatting sqref="I19:J23">
    <cfRule type="cellIs" dxfId="122" priority="54" operator="equal">
      <formula>0</formula>
    </cfRule>
  </conditionalFormatting>
  <conditionalFormatting sqref="K19:L23">
    <cfRule type="cellIs" dxfId="121" priority="53" operator="equal">
      <formula>0</formula>
    </cfRule>
  </conditionalFormatting>
  <conditionalFormatting sqref="M19:N23">
    <cfRule type="cellIs" dxfId="120" priority="52" operator="equal">
      <formula>0</formula>
    </cfRule>
  </conditionalFormatting>
  <conditionalFormatting sqref="O19:P23">
    <cfRule type="cellIs" dxfId="119" priority="51" operator="equal">
      <formula>0</formula>
    </cfRule>
  </conditionalFormatting>
  <conditionalFormatting sqref="Q19:R23">
    <cfRule type="cellIs" dxfId="118" priority="50" operator="equal">
      <formula>0</formula>
    </cfRule>
  </conditionalFormatting>
  <conditionalFormatting sqref="S19:T23">
    <cfRule type="cellIs" dxfId="117" priority="49" operator="equal">
      <formula>0</formula>
    </cfRule>
  </conditionalFormatting>
  <conditionalFormatting sqref="U19:V23">
    <cfRule type="cellIs" dxfId="116" priority="48" operator="equal">
      <formula>0</formula>
    </cfRule>
  </conditionalFormatting>
  <conditionalFormatting sqref="Y19:Z23">
    <cfRule type="cellIs" dxfId="115" priority="47" operator="equal">
      <formula>0</formula>
    </cfRule>
  </conditionalFormatting>
  <conditionalFormatting sqref="AA19:AB23">
    <cfRule type="cellIs" dxfId="114" priority="46" operator="equal">
      <formula>0</formula>
    </cfRule>
  </conditionalFormatting>
  <conditionalFormatting sqref="I12:J16">
    <cfRule type="cellIs" dxfId="113" priority="45" operator="equal">
      <formula>0</formula>
    </cfRule>
  </conditionalFormatting>
  <conditionalFormatting sqref="I26:J30">
    <cfRule type="cellIs" dxfId="112" priority="44" operator="equal">
      <formula>0</formula>
    </cfRule>
  </conditionalFormatting>
  <conditionalFormatting sqref="I40:J44">
    <cfRule type="cellIs" dxfId="111" priority="43" operator="equal">
      <formula>0</formula>
    </cfRule>
  </conditionalFormatting>
  <conditionalFormatting sqref="I33:J37">
    <cfRule type="cellIs" dxfId="110" priority="42" operator="equal">
      <formula>0</formula>
    </cfRule>
  </conditionalFormatting>
  <conditionalFormatting sqref="K26:L30">
    <cfRule type="cellIs" dxfId="109" priority="41" operator="equal">
      <formula>0</formula>
    </cfRule>
  </conditionalFormatting>
  <conditionalFormatting sqref="K33:L37">
    <cfRule type="cellIs" dxfId="108" priority="40" operator="equal">
      <formula>0</formula>
    </cfRule>
  </conditionalFormatting>
  <conditionalFormatting sqref="K40:L44">
    <cfRule type="cellIs" dxfId="107" priority="39" operator="equal">
      <formula>0</formula>
    </cfRule>
  </conditionalFormatting>
  <conditionalFormatting sqref="K12:L16">
    <cfRule type="cellIs" dxfId="106" priority="38" operator="equal">
      <formula>0</formula>
    </cfRule>
  </conditionalFormatting>
  <conditionalFormatting sqref="M5:N9">
    <cfRule type="cellIs" dxfId="105" priority="37" operator="equal">
      <formula>0</formula>
    </cfRule>
  </conditionalFormatting>
  <conditionalFormatting sqref="M12:N16">
    <cfRule type="cellIs" dxfId="104" priority="36" operator="equal">
      <formula>0</formula>
    </cfRule>
  </conditionalFormatting>
  <conditionalFormatting sqref="S5:T9">
    <cfRule type="cellIs" dxfId="103" priority="35" operator="equal">
      <formula>0</formula>
    </cfRule>
  </conditionalFormatting>
  <conditionalFormatting sqref="Q12:R16">
    <cfRule type="cellIs" dxfId="102" priority="34" operator="equal">
      <formula>0</formula>
    </cfRule>
  </conditionalFormatting>
  <conditionalFormatting sqref="S12:T16">
    <cfRule type="cellIs" dxfId="101" priority="33" operator="equal">
      <formula>0</formula>
    </cfRule>
  </conditionalFormatting>
  <conditionalFormatting sqref="Y12:Z16">
    <cfRule type="cellIs" dxfId="100" priority="32" operator="equal">
      <formula>0</formula>
    </cfRule>
  </conditionalFormatting>
  <conditionalFormatting sqref="AA12:AB16">
    <cfRule type="cellIs" dxfId="99" priority="31" operator="equal">
      <formula>0</formula>
    </cfRule>
  </conditionalFormatting>
  <conditionalFormatting sqref="O12:P14 P15:P16">
    <cfRule type="cellIs" dxfId="98" priority="30" operator="equal">
      <formula>0</formula>
    </cfRule>
  </conditionalFormatting>
  <conditionalFormatting sqref="O26:P30">
    <cfRule type="cellIs" dxfId="97" priority="29" operator="equal">
      <formula>0</formula>
    </cfRule>
  </conditionalFormatting>
  <conditionalFormatting sqref="O40:P44">
    <cfRule type="cellIs" dxfId="96" priority="28" operator="equal">
      <formula>0</formula>
    </cfRule>
  </conditionalFormatting>
  <conditionalFormatting sqref="O33:P37">
    <cfRule type="cellIs" dxfId="95" priority="27" operator="equal">
      <formula>0</formula>
    </cfRule>
  </conditionalFormatting>
  <conditionalFormatting sqref="M26:N30">
    <cfRule type="cellIs" dxfId="94" priority="26" operator="equal">
      <formula>0</formula>
    </cfRule>
  </conditionalFormatting>
  <conditionalFormatting sqref="M40:N44">
    <cfRule type="cellIs" dxfId="93" priority="25" operator="equal">
      <formula>0</formula>
    </cfRule>
  </conditionalFormatting>
  <conditionalFormatting sqref="M33:N37">
    <cfRule type="cellIs" dxfId="92" priority="24" operator="equal">
      <formula>0</formula>
    </cfRule>
  </conditionalFormatting>
  <conditionalFormatting sqref="Q33:R37">
    <cfRule type="cellIs" dxfId="91" priority="23" operator="equal">
      <formula>0</formula>
    </cfRule>
  </conditionalFormatting>
  <conditionalFormatting sqref="Q40:R44">
    <cfRule type="cellIs" dxfId="90" priority="22" operator="equal">
      <formula>0</formula>
    </cfRule>
  </conditionalFormatting>
  <conditionalFormatting sqref="Q26:R30">
    <cfRule type="cellIs" dxfId="89" priority="21" operator="equal">
      <formula>0</formula>
    </cfRule>
  </conditionalFormatting>
  <conditionalFormatting sqref="S26:T30">
    <cfRule type="cellIs" dxfId="88" priority="20" operator="equal">
      <formula>0</formula>
    </cfRule>
  </conditionalFormatting>
  <conditionalFormatting sqref="S40:T44">
    <cfRule type="cellIs" dxfId="87" priority="19" operator="equal">
      <formula>0</formula>
    </cfRule>
  </conditionalFormatting>
  <conditionalFormatting sqref="S33:T37">
    <cfRule type="cellIs" dxfId="86" priority="18" operator="equal">
      <formula>0</formula>
    </cfRule>
  </conditionalFormatting>
  <conditionalFormatting sqref="U12:V16">
    <cfRule type="cellIs" dxfId="85" priority="17" operator="equal">
      <formula>0</formula>
    </cfRule>
  </conditionalFormatting>
  <conditionalFormatting sqref="U26:V30">
    <cfRule type="cellIs" dxfId="84" priority="16" operator="equal">
      <formula>0</formula>
    </cfRule>
  </conditionalFormatting>
  <conditionalFormatting sqref="U33:V37">
    <cfRule type="cellIs" dxfId="83" priority="15" operator="equal">
      <formula>0</formula>
    </cfRule>
  </conditionalFormatting>
  <conditionalFormatting sqref="U40:V44">
    <cfRule type="cellIs" dxfId="82" priority="14" operator="equal">
      <formula>0</formula>
    </cfRule>
  </conditionalFormatting>
  <conditionalFormatting sqref="W12:X16">
    <cfRule type="cellIs" dxfId="81" priority="13" operator="equal">
      <formula>0</formula>
    </cfRule>
  </conditionalFormatting>
  <conditionalFormatting sqref="W19:X23">
    <cfRule type="cellIs" dxfId="80" priority="12" operator="equal">
      <formula>0</formula>
    </cfRule>
  </conditionalFormatting>
  <conditionalFormatting sqref="W26:X30">
    <cfRule type="cellIs" dxfId="79" priority="11" operator="equal">
      <formula>0</formula>
    </cfRule>
  </conditionalFormatting>
  <conditionalFormatting sqref="W40:X44">
    <cfRule type="cellIs" dxfId="78" priority="10" operator="equal">
      <formula>0</formula>
    </cfRule>
  </conditionalFormatting>
  <conditionalFormatting sqref="W33:X37">
    <cfRule type="cellIs" dxfId="77" priority="9" operator="equal">
      <formula>0</formula>
    </cfRule>
  </conditionalFormatting>
  <conditionalFormatting sqref="Y26:Z30">
    <cfRule type="cellIs" dxfId="76" priority="8" operator="equal">
      <formula>0</formula>
    </cfRule>
  </conditionalFormatting>
  <conditionalFormatting sqref="Y33:Z37">
    <cfRule type="cellIs" dxfId="75" priority="7" operator="equal">
      <formula>0</formula>
    </cfRule>
  </conditionalFormatting>
  <conditionalFormatting sqref="Y40:Z44">
    <cfRule type="cellIs" dxfId="74" priority="6" operator="equal">
      <formula>0</formula>
    </cfRule>
  </conditionalFormatting>
  <conditionalFormatting sqref="AA26:AB30">
    <cfRule type="cellIs" dxfId="73" priority="5" operator="equal">
      <formula>0</formula>
    </cfRule>
  </conditionalFormatting>
  <conditionalFormatting sqref="AA40:AB44">
    <cfRule type="cellIs" dxfId="72" priority="4" operator="equal">
      <formula>0</formula>
    </cfRule>
  </conditionalFormatting>
  <conditionalFormatting sqref="AA33:AB37">
    <cfRule type="cellIs" dxfId="71" priority="3" operator="equal">
      <formula>0</formula>
    </cfRule>
  </conditionalFormatting>
  <conditionalFormatting sqref="O15:O16">
    <cfRule type="cellIs" dxfId="7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15</vt:i4>
      </vt:variant>
      <vt:variant>
        <vt:lpstr>Intervalli denominati</vt:lpstr>
      </vt:variant>
      <vt:variant>
        <vt:i4>13</vt:i4>
      </vt:variant>
    </vt:vector>
  </HeadingPairs>
  <TitlesOfParts>
    <vt:vector size="28" baseType="lpstr">
      <vt:lpstr>House_01</vt:lpstr>
      <vt:lpstr>House_02</vt:lpstr>
      <vt:lpstr>House_03</vt:lpstr>
      <vt:lpstr>House_04</vt:lpstr>
      <vt:lpstr>House_05</vt:lpstr>
      <vt:lpstr>House_06</vt:lpstr>
      <vt:lpstr>House_07</vt:lpstr>
      <vt:lpstr>House_08</vt:lpstr>
      <vt:lpstr>House_09</vt:lpstr>
      <vt:lpstr>House_10</vt:lpstr>
      <vt:lpstr>House_11</vt:lpstr>
      <vt:lpstr>House_12</vt:lpstr>
      <vt:lpstr>House_13</vt:lpstr>
      <vt:lpstr>Summary</vt:lpstr>
      <vt:lpstr>Summary - Significant</vt:lpstr>
      <vt:lpstr>H01_M3</vt:lpstr>
      <vt:lpstr>H02_M3</vt:lpstr>
      <vt:lpstr>H03_M3</vt:lpstr>
      <vt:lpstr>H04_M3</vt:lpstr>
      <vt:lpstr>H05_M3</vt:lpstr>
      <vt:lpstr>H06_M3</vt:lpstr>
      <vt:lpstr>H07_M3</vt:lpstr>
      <vt:lpstr>H08_M3</vt:lpstr>
      <vt:lpstr>H09_M3</vt:lpstr>
      <vt:lpstr>H10_M3</vt:lpstr>
      <vt:lpstr>H11_M3</vt:lpstr>
      <vt:lpstr>H12_M3</vt:lpstr>
      <vt:lpstr>H13_M3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Vezzali</dc:creator>
  <cp:lastModifiedBy>Dario Vezzali</cp:lastModifiedBy>
  <dcterms:created xsi:type="dcterms:W3CDTF">2025-12-17T10:01:07Z</dcterms:created>
  <dcterms:modified xsi:type="dcterms:W3CDTF">2026-10-16T15:17:08Z</dcterms:modified>
</cp:coreProperties>
</file>